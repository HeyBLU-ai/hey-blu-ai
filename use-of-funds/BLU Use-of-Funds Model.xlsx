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che_Detail" sheetId="4" state="visible" r:id="rId4"/>
    <sheet xmlns:r="http://schemas.openxmlformats.org/officeDocument/2006/relationships" name="County_League_Model" sheetId="5" state="visible" r:id="rId5"/>
    <sheet xmlns:r="http://schemas.openxmlformats.org/officeDocument/2006/relationships" name="Unit_Economics" sheetId="6" state="visible" r:id="rId6"/>
    <sheet xmlns:r="http://schemas.openxmlformats.org/officeDocument/2006/relationships" name="Cash_Runway" sheetId="7" state="visible" r:id="rId7"/>
    <sheet xmlns:r="http://schemas.openxmlformats.org/officeDocument/2006/relationships" name="Pay_Triggers" sheetId="8" state="visible" r:id="rId8"/>
    <sheet xmlns:r="http://schemas.openxmlformats.org/officeDocument/2006/relationships" name="Milestones" sheetId="9" state="visible" r:id="rId9"/>
    <sheet xmlns:r="http://schemas.openxmlformats.org/officeDocument/2006/relationships" name="Scenarios" sheetId="10" state="visible" r:id="rId10"/>
    <sheet xmlns:r="http://schemas.openxmlformats.org/officeDocument/2006/relationships" name="Scenarios_Output" sheetId="11" state="visible" r:id="rId11"/>
    <sheet xmlns:r="http://schemas.openxmlformats.org/officeDocument/2006/relationships" name="Sales_Comp" sheetId="12" state="visible" r:id="rId12"/>
    <sheet xmlns:r="http://schemas.openxmlformats.org/officeDocument/2006/relationships" name="Infra_Estima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/>
    <font>
      <b val="1"/>
      <sz val="12"/>
    </font>
    <font>
      <b val="1"/>
      <sz val="16"/>
    </font>
    <font>
      <b val="1"/>
      <color rgb="00FFFFFF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164" fontId="1" fillId="0" borderId="1"/>
    <xf numFmtId="165" fontId="1" fillId="0" borderId="1"/>
    <xf numFmtId="3" fontId="1" fillId="0" borderId="1"/>
    <xf numFmtId="2" fontId="1" fillId="0" borderId="1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1" fillId="0" borderId="1" pivotButton="0" quotePrefix="0" xfId="3"/>
    <xf numFmtId="165" fontId="1" fillId="0" borderId="1" pivotButton="0" quotePrefix="0" xfId="2"/>
    <xf numFmtId="164" fontId="1" fillId="0" borderId="1" pivotButton="0" quotePrefix="0" xfId="1"/>
    <xf numFmtId="164" fontId="2" fillId="0" borderId="1" pivotButton="0" quotePrefix="0" xfId="1"/>
    <xf numFmtId="3" fontId="2" fillId="0" borderId="1" pivotButton="0" quotePrefix="0" xfId="3"/>
    <xf numFmtId="2" fontId="1" fillId="0" borderId="1" pivotButton="0" quotePrefix="0" xfId="4"/>
    <xf numFmtId="0" fontId="5" fillId="3" borderId="0" pivotButton="0" quotePrefix="0" xfId="0"/>
  </cellXfs>
  <cellStyles count="5">
    <cellStyle name="Normal" xfId="0" builtinId="0" hidden="0"/>
    <cellStyle name="currency" xfId="1" hidden="0"/>
    <cellStyle name="percent" xfId="2" hidden="0"/>
    <cellStyle name="integer" xfId="3" hidden="0"/>
    <cellStyle name="float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0" customWidth="1" min="2" max="2"/>
  </cols>
  <sheetData>
    <row r="1">
      <c r="A1" s="1" t="inlineStr">
        <is>
          <t>BLU Use-of-Funds Model - README</t>
        </is>
      </c>
    </row>
    <row r="2">
      <c r="A2" s="2" t="n"/>
      <c r="B2" s="2" t="n"/>
    </row>
    <row r="3">
      <c r="A3" s="3" t="inlineStr">
        <is>
          <t>How to Use This Model</t>
        </is>
      </c>
    </row>
    <row r="5">
      <c r="A5" t="inlineStr">
        <is>
          <t>1.</t>
        </is>
      </c>
      <c r="B5" t="inlineStr">
        <is>
          <t>Start on the 'Assumptions' sheet. All key inputs are here.</t>
        </is>
      </c>
    </row>
    <row r="6">
      <c r="A6" t="inlineStr">
        <is>
          <t>2.</t>
        </is>
      </c>
      <c r="B6" t="inlineStr">
        <is>
          <t>Cells formatted in Blue with a Light Blue Background are inputs. Change these to test different scenarios.</t>
        </is>
      </c>
    </row>
    <row r="7">
      <c r="A7" t="inlineStr">
        <is>
          <t>3.</t>
        </is>
      </c>
      <c r="B7" t="inlineStr">
        <is>
          <t>All other cells contain formulas and will update automatically.</t>
        </is>
      </c>
    </row>
    <row r="8">
      <c r="A8" t="inlineStr">
        <is>
          <t>4.</t>
        </is>
      </c>
      <c r="B8" t="inlineStr">
        <is>
          <t>'County_League_Model' projects user growth and ARR based on your assumptions.</t>
        </is>
      </c>
    </row>
    <row r="9">
      <c r="A9" t="inlineStr">
        <is>
          <t>5.</t>
        </is>
      </c>
      <c r="B9" t="inlineStr">
        <is>
          <t>'Tranche_Detail' and 'Cash_Runway' allocate funds and project cash flow.</t>
        </is>
      </c>
    </row>
    <row r="10">
      <c r="A10" t="inlineStr">
        <is>
          <t>6.</t>
        </is>
      </c>
      <c r="B10" t="inlineStr">
        <is>
          <t>'Unit_Economics' and 'Milestones' track your key performance indicators (KPIs).</t>
        </is>
      </c>
    </row>
    <row r="11">
      <c r="A11" t="inlineStr">
        <is>
          <t>7.</t>
        </is>
      </c>
      <c r="B11" t="inlineStr">
        <is>
          <t>'Scenarios' and 'Scenarios_Output' provide a high-level summary of Conservative, Base, and Aggressive outcomes.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Assumptions</t>
        </is>
      </c>
    </row>
    <row r="2">
      <c r="A2" s="2" t="inlineStr">
        <is>
          <t>Category</t>
        </is>
      </c>
      <c r="B2" s="2" t="inlineStr">
        <is>
          <t>Item</t>
        </is>
      </c>
      <c r="C2" s="2" t="inlineStr">
        <is>
          <t>Base</t>
        </is>
      </c>
      <c r="D2" s="2" t="inlineStr">
        <is>
          <t>Conservative</t>
        </is>
      </c>
      <c r="E2" s="2" t="inlineStr">
        <is>
          <t>Aggressive</t>
        </is>
      </c>
      <c r="F2" s="2" t="inlineStr">
        <is>
          <t>Notes</t>
        </is>
      </c>
    </row>
    <row r="3">
      <c r="A3" t="inlineStr">
        <is>
          <t>Market</t>
        </is>
      </c>
      <c r="B3" t="inlineStr">
        <is>
          <t>Counties Targeted (Year 1)</t>
        </is>
      </c>
      <c r="C3" s="4" t="n">
        <v>5</v>
      </c>
      <c r="D3" s="4" t="n">
        <v>3</v>
      </c>
      <c r="E3" s="4" t="n">
        <v>8</v>
      </c>
      <c r="F3" t="inlineStr">
        <is>
          <t>Initial focus area</t>
        </is>
      </c>
    </row>
    <row r="4">
      <c r="A4" t="inlineStr">
        <is>
          <t>Market</t>
        </is>
      </c>
      <c r="B4" t="inlineStr">
        <is>
          <t>Leagues per County (Avg)</t>
        </is>
      </c>
      <c r="C4" s="4" t="n">
        <v>20</v>
      </c>
      <c r="D4" s="4" t="n">
        <v>15</v>
      </c>
      <c r="E4" s="4" t="n">
        <v>25</v>
      </c>
      <c r="F4" t="inlineStr"/>
    </row>
    <row r="5">
      <c r="A5" t="inlineStr">
        <is>
          <t>Market</t>
        </is>
      </c>
      <c r="B5" t="inlineStr">
        <is>
          <t>Umpires per League (Avg)</t>
        </is>
      </c>
      <c r="C5" s="4" t="n">
        <v>15</v>
      </c>
      <c r="D5" s="4" t="n">
        <v>12</v>
      </c>
      <c r="E5" s="4" t="n">
        <v>18</v>
      </c>
      <c r="F5" t="inlineStr"/>
    </row>
    <row r="6">
      <c r="A6" t="inlineStr">
        <is>
          <t>Market</t>
        </is>
      </c>
      <c r="B6" t="inlineStr">
        <is>
          <t>Parents per Umpire (Avg)</t>
        </is>
      </c>
      <c r="C6" s="4" t="n">
        <v>10</v>
      </c>
      <c r="D6" s="4" t="n">
        <v>8</v>
      </c>
      <c r="E6" s="4" t="n">
        <v>12</v>
      </c>
      <c r="F6" t="inlineStr">
        <is>
          <t>Parents of players in games umpired</t>
        </is>
      </c>
    </row>
    <row r="7">
      <c r="A7" t="inlineStr">
        <is>
          <t>Market</t>
        </is>
      </c>
      <c r="B7" t="inlineStr">
        <is>
          <t>Coaches per League (Avg)</t>
        </is>
      </c>
      <c r="C7" s="4" t="n">
        <v>8</v>
      </c>
      <c r="D7" s="4" t="n">
        <v>6</v>
      </c>
      <c r="E7" s="4" t="n">
        <v>10</v>
      </c>
      <c r="F7" t="inlineStr"/>
    </row>
    <row r="8">
      <c r="A8" t="inlineStr">
        <is>
          <t>Conversion</t>
        </is>
      </c>
      <c r="B8" t="inlineStr">
        <is>
          <t>Parent App Conversion %</t>
        </is>
      </c>
      <c r="C8" s="5" t="n">
        <v>0.02</v>
      </c>
      <c r="D8" s="5" t="n">
        <v>0.01</v>
      </c>
      <c r="E8" s="5" t="n">
        <v>0.03</v>
      </c>
      <c r="F8" t="inlineStr">
        <is>
          <t>Freemium to Paid ($199/yr)</t>
        </is>
      </c>
    </row>
    <row r="9">
      <c r="A9" t="inlineStr">
        <is>
          <t>Conversion</t>
        </is>
      </c>
      <c r="B9" t="inlineStr">
        <is>
          <t>Coach App Conversion %</t>
        </is>
      </c>
      <c r="C9" s="5" t="n">
        <v>0.1</v>
      </c>
      <c r="D9" s="5" t="n">
        <v>0.05</v>
      </c>
      <c r="E9" s="5" t="n">
        <v>0.15</v>
      </c>
      <c r="F9" t="inlineStr">
        <is>
          <t>Freemium to Paid ($199/yr)</t>
        </is>
      </c>
    </row>
    <row r="10">
      <c r="A10" t="inlineStr">
        <is>
          <t>Conversion</t>
        </is>
      </c>
      <c r="B10" t="inlineStr">
        <is>
          <t>League/Org Conversion % (Yr 1)</t>
        </is>
      </c>
      <c r="C10" s="5" t="n">
        <v>0.05</v>
      </c>
      <c r="D10" s="5" t="n">
        <v>0.03</v>
      </c>
      <c r="E10" s="5" t="n">
        <v>0.08</v>
      </c>
      <c r="F10" t="inlineStr">
        <is>
          <t>Leagues converting to B2B platform</t>
        </is>
      </c>
    </row>
    <row r="11">
      <c r="A11" t="inlineStr">
        <is>
          <t>Pricing</t>
        </is>
      </c>
      <c r="B11" t="inlineStr">
        <is>
          <t>Coach/Parent App (Annual)</t>
        </is>
      </c>
      <c r="C11" s="6" t="n">
        <v>199</v>
      </c>
      <c r="D11" s="6" t="n">
        <v>199</v>
      </c>
      <c r="E11" s="6" t="n">
        <v>249</v>
      </c>
      <c r="F11" t="inlineStr">
        <is>
          <t>Annual subscription</t>
        </is>
      </c>
    </row>
    <row r="12">
      <c r="A12" t="inlineStr">
        <is>
          <t>Pricing</t>
        </is>
      </c>
      <c r="B12" t="inlineStr">
        <is>
          <t>Organization Price (Annual Avg)</t>
        </is>
      </c>
      <c r="C12" s="6" t="n">
        <v>5000</v>
      </c>
      <c r="D12" s="6" t="n">
        <v>3500</v>
      </c>
      <c r="E12" s="6" t="n">
        <v>7500</v>
      </c>
      <c r="F12" t="inlineStr">
        <is>
          <t>Per league, custom pricing</t>
        </is>
      </c>
    </row>
    <row r="13">
      <c r="A13" t="inlineStr">
        <is>
          <t>Unit Economics</t>
        </is>
      </c>
      <c r="B13" t="inlineStr">
        <is>
          <t>User Lifetime (Years)</t>
        </is>
      </c>
      <c r="C13" s="4" t="n">
        <v>3</v>
      </c>
      <c r="D13" s="4" t="n">
        <v>2.5</v>
      </c>
      <c r="E13" s="4" t="n">
        <v>3.5</v>
      </c>
      <c r="F13" t="inlineStr"/>
    </row>
    <row r="14">
      <c r="A14" t="inlineStr">
        <is>
          <t>Unit Economics</t>
        </is>
      </c>
      <c r="B14" t="inlineStr">
        <is>
          <t>Gross Margin</t>
        </is>
      </c>
      <c r="C14" s="5" t="n">
        <v>0.55</v>
      </c>
      <c r="D14" s="5" t="n">
        <v>0.5</v>
      </c>
      <c r="E14" s="5" t="n">
        <v>0.6</v>
      </c>
      <c r="F14" t="inlineStr">
        <is>
          <t>Revenue minus COGS (Infra, Support)</t>
        </is>
      </c>
    </row>
    <row r="15">
      <c r="A15" t="inlineStr">
        <is>
          <t>Unit Economics</t>
        </is>
      </c>
      <c r="B15" t="inlineStr">
        <is>
          <t>Annual Discount Rate</t>
        </is>
      </c>
      <c r="C15" s="5" t="n">
        <v>0.1</v>
      </c>
      <c r="D15" s="5" t="n">
        <v>0.12</v>
      </c>
      <c r="E15" s="5" t="n">
        <v>0.08</v>
      </c>
      <c r="F15" t="inlineStr">
        <is>
          <t>For LTV calculation (optional)</t>
        </is>
      </c>
    </row>
    <row r="16">
      <c r="A16" t="inlineStr">
        <is>
          <t>CAC</t>
        </is>
      </c>
      <c r="B16" t="inlineStr">
        <is>
          <t>CAC - Ambassador ($/user)</t>
        </is>
      </c>
      <c r="C16" s="6" t="n">
        <v>30</v>
      </c>
      <c r="D16" s="6" t="n">
        <v>40</v>
      </c>
      <c r="E16" s="6" t="n">
        <v>25</v>
      </c>
      <c r="F16" t="inlineStr">
        <is>
          <t>Paid user (parent/coach)</t>
        </is>
      </c>
    </row>
    <row r="17">
      <c r="A17" t="inlineStr">
        <is>
          <t>CAC</t>
        </is>
      </c>
      <c r="B17" t="inlineStr">
        <is>
          <t>CAC - Social/Digital ($/user)</t>
        </is>
      </c>
      <c r="C17" s="6" t="n">
        <v>80</v>
      </c>
      <c r="D17" s="6" t="n">
        <v>100</v>
      </c>
      <c r="E17" s="6" t="n">
        <v>70</v>
      </c>
      <c r="F17" t="inlineStr">
        <is>
          <t>Paid user (parent/coach)</t>
        </is>
      </c>
    </row>
    <row r="18">
      <c r="A18" t="inlineStr">
        <is>
          <t>CAC</t>
        </is>
      </c>
      <c r="B18" t="inlineStr">
        <is>
          <t>CAC - Organization ($/league)</t>
        </is>
      </c>
      <c r="C18" s="6" t="n">
        <v>1200</v>
      </c>
      <c r="D18" s="6" t="n">
        <v>1500</v>
      </c>
      <c r="E18" s="6" t="n">
        <v>1000</v>
      </c>
      <c r="F18" t="inlineStr">
        <is>
          <t>League B2B sale</t>
        </is>
      </c>
    </row>
    <row r="19">
      <c r="A19" t="inlineStr">
        <is>
          <t>Team</t>
        </is>
      </c>
      <c r="B19" t="inlineStr">
        <is>
          <t>Employer Burden</t>
        </is>
      </c>
      <c r="C19" s="5" t="n">
        <v>0.1</v>
      </c>
      <c r="D19" s="5" t="n">
        <v>0.12</v>
      </c>
      <c r="E19" s="5" t="n">
        <v>0.1</v>
      </c>
      <c r="F19" t="inlineStr">
        <is>
          <t>% on top of base salary (taxes, benefits)</t>
        </is>
      </c>
    </row>
    <row r="20">
      <c r="A20" t="inlineStr">
        <is>
          <t>Team</t>
        </is>
      </c>
      <c r="B20" t="inlineStr">
        <is>
          <t>Engineer Salary (Avg)</t>
        </is>
      </c>
      <c r="C20" s="6" t="n">
        <v>120000</v>
      </c>
      <c r="D20" s="6" t="n">
        <v>110000</v>
      </c>
      <c r="E20" s="6" t="n">
        <v>130000</v>
      </c>
      <c r="F20" t="inlineStr"/>
    </row>
    <row r="21">
      <c r="A21" t="inlineStr">
        <is>
          <t>Team</t>
        </is>
      </c>
      <c r="B21" t="inlineStr">
        <is>
          <t>Sales Salary (Avg)</t>
        </is>
      </c>
      <c r="C21" s="6" t="n">
        <v>80000</v>
      </c>
      <c r="D21" s="6" t="n">
        <v>75000</v>
      </c>
      <c r="E21" s="6" t="n">
        <v>85000</v>
      </c>
      <c r="F21" t="inlineStr"/>
    </row>
    <row r="22">
      <c r="A22" t="inlineStr">
        <is>
          <t>Pay Triggers</t>
        </is>
      </c>
      <c r="B22" t="inlineStr">
        <is>
          <t>Founder Pay - Stage 1 (Annual)</t>
        </is>
      </c>
      <c r="C22" s="6" t="n">
        <v>90000</v>
      </c>
      <c r="D22" s="6" t="n">
        <v>90000</v>
      </c>
      <c r="E22" s="6" t="n">
        <v>90000</v>
      </c>
      <c r="F22" t="inlineStr">
        <is>
          <t>Annual Salary per Founder ($7.5k/mo)</t>
        </is>
      </c>
    </row>
    <row r="23">
      <c r="A23" t="inlineStr">
        <is>
          <t>Pay Triggers</t>
        </is>
      </c>
      <c r="B23" t="inlineStr">
        <is>
          <t>Founder Pay - Stage 2 (Annual)</t>
        </is>
      </c>
      <c r="C23" s="6" t="n">
        <v>120000</v>
      </c>
      <c r="D23" s="6" t="n">
        <v>120000</v>
      </c>
      <c r="E23" s="6" t="n">
        <v>120000</v>
      </c>
      <c r="F23" t="inlineStr">
        <is>
          <t>Annual Salary per Founder ($10k/mo)</t>
        </is>
      </c>
    </row>
    <row r="24">
      <c r="A24" t="inlineStr">
        <is>
          <t>Pay Triggers</t>
        </is>
      </c>
      <c r="B24" t="inlineStr">
        <is>
          <t>Founder Pay - Stage 3 (Annual)</t>
        </is>
      </c>
      <c r="C24" s="6" t="n">
        <v>250000</v>
      </c>
      <c r="D24" s="6" t="n">
        <v>250000</v>
      </c>
      <c r="E24" s="6" t="n">
        <v>250000</v>
      </c>
      <c r="F24" t="inlineStr">
        <is>
          <t>Annual Salary per Founder</t>
        </is>
      </c>
    </row>
    <row r="25">
      <c r="A25" t="inlineStr">
        <is>
          <t>Pay Triggers</t>
        </is>
      </c>
      <c r="B25" t="inlineStr">
        <is>
          <t>MRR Trigger - Stage 2</t>
        </is>
      </c>
      <c r="C25" s="6" t="n">
        <v>10000</v>
      </c>
      <c r="D25" s="6" t="n">
        <v>10000</v>
      </c>
      <c r="E25" s="6" t="n">
        <v>10000</v>
      </c>
      <c r="F25" t="inlineStr">
        <is>
          <t>MRR threshold for Stage 2 pay</t>
        </is>
      </c>
    </row>
    <row r="26">
      <c r="A26" t="inlineStr">
        <is>
          <t>Pay Triggers</t>
        </is>
      </c>
      <c r="B26" t="inlineStr">
        <is>
          <t>MRR Trigger - Stage 3</t>
        </is>
      </c>
      <c r="C26" s="6" t="n">
        <v>50000</v>
      </c>
      <c r="D26" s="6" t="n">
        <v>50000</v>
      </c>
      <c r="E26" s="6" t="n">
        <v>50000</v>
      </c>
      <c r="F26" t="inlineStr">
        <is>
          <t>MRR threshold for Stage 3 pay</t>
        </is>
      </c>
    </row>
    <row r="27">
      <c r="A27" t="inlineStr">
        <is>
          <t>Funding</t>
        </is>
      </c>
      <c r="B27" t="inlineStr">
        <is>
          <t>Tranche A</t>
        </is>
      </c>
      <c r="C27" s="6" t="n">
        <v>250000</v>
      </c>
      <c r="D27" s="6" t="n">
        <v>250000</v>
      </c>
      <c r="E27" s="6" t="n">
        <v>250000</v>
      </c>
      <c r="F27" t="inlineStr">
        <is>
          <t>MVP &amp; Pilot</t>
        </is>
      </c>
    </row>
    <row r="28">
      <c r="A28" t="inlineStr">
        <is>
          <t>Funding</t>
        </is>
      </c>
      <c r="B28" t="inlineStr">
        <is>
          <t>Tranche B</t>
        </is>
      </c>
      <c r="C28" s="6" t="n">
        <v>750000</v>
      </c>
      <c r="D28" s="6" t="n">
        <v>750000</v>
      </c>
      <c r="E28" s="6" t="n">
        <v>750000</v>
      </c>
      <c r="F28" t="inlineStr">
        <is>
          <t>Product-Market Fit</t>
        </is>
      </c>
    </row>
    <row r="29">
      <c r="A29" t="inlineStr">
        <is>
          <t>Funding</t>
        </is>
      </c>
      <c r="B29" t="inlineStr">
        <is>
          <t>Tranche C</t>
        </is>
      </c>
      <c r="C29" s="6" t="n">
        <v>1000000</v>
      </c>
      <c r="D29" s="6" t="n">
        <v>1000000</v>
      </c>
      <c r="E29" s="6" t="n">
        <v>1000000</v>
      </c>
      <c r="F29" t="inlineStr">
        <is>
          <t>Growth</t>
        </is>
      </c>
    </row>
    <row r="30">
      <c r="C30" s="4" t="n"/>
      <c r="D30" s="4" t="n"/>
      <c r="E30" s="4" t="n"/>
    </row>
    <row r="31">
      <c r="C31" s="4" t="n"/>
      <c r="D31" s="4" t="n"/>
      <c r="E31" s="4" t="n"/>
    </row>
    <row r="32">
      <c r="C32" s="4" t="n"/>
      <c r="D32" s="4" t="n"/>
      <c r="E3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50" customWidth="1" min="5" max="5"/>
  </cols>
  <sheetData>
    <row r="1">
      <c r="A1" s="1" t="inlineStr">
        <is>
          <t>Funding Tranche Summary</t>
        </is>
      </c>
      <c r="B1" s="6" t="n"/>
      <c r="C1" s="4" t="n"/>
    </row>
    <row r="2">
      <c r="A2" s="2" t="inlineStr">
        <is>
          <t>Tranche</t>
        </is>
      </c>
      <c r="B2" s="6" t="inlineStr">
        <is>
          <t>Amount</t>
        </is>
      </c>
      <c r="C2" s="4" t="inlineStr">
        <is>
          <t>Duration (Months)</t>
        </is>
      </c>
      <c r="D2" s="2" t="inlineStr">
        <is>
          <t>Primary Use</t>
        </is>
      </c>
      <c r="E2" s="2" t="inlineStr">
        <is>
          <t>Key Release Milestones</t>
        </is>
      </c>
    </row>
    <row r="3">
      <c r="A3" t="inlineStr">
        <is>
          <t>Tranche A</t>
        </is>
      </c>
      <c r="B3" s="6">
        <f>Assumptions!C30</f>
        <v/>
      </c>
      <c r="C3" s="4" t="n">
        <v>9</v>
      </c>
      <c r="D3" t="inlineStr">
        <is>
          <t>Build Umpire MVP &amp; Launch Pilots</t>
        </is>
      </c>
      <c r="E3" t="inlineStr">
        <is>
          <t>Initial Close</t>
        </is>
      </c>
    </row>
    <row r="4">
      <c r="A4" t="inlineStr">
        <is>
          <t>Tranche B</t>
        </is>
      </c>
      <c r="B4" s="6">
        <f>Assumptions!C31</f>
        <v/>
      </c>
      <c r="C4" s="4" t="n">
        <v>12</v>
      </c>
      <c r="D4" t="inlineStr">
        <is>
          <t>Achieve Product-Market Fit (Coach/Parent App)</t>
        </is>
      </c>
      <c r="E4" t="inlineStr">
        <is>
          <t>Tranche A Milestones Met (5 Leagues, 100 Umpires)</t>
        </is>
      </c>
    </row>
    <row r="5">
      <c r="A5" t="inlineStr">
        <is>
          <t>Tranche C</t>
        </is>
      </c>
      <c r="B5" s="6">
        <f>Assumptions!C32</f>
        <v/>
      </c>
      <c r="C5" s="4" t="n">
        <v>12</v>
      </c>
      <c r="D5" t="inlineStr">
        <is>
          <t>Drive Scalable Growth (Organization Sales)</t>
        </is>
      </c>
      <c r="E5" t="inlineStr">
        <is>
          <t>Tranche B Milestones Met ($15k MRR, 2% Conversion)</t>
        </is>
      </c>
    </row>
    <row r="6">
      <c r="A6" t="inlineStr">
        <is>
          <t>Total</t>
        </is>
      </c>
      <c r="B6" s="7">
        <f>SUM(B3:B5)</f>
        <v/>
      </c>
      <c r="C6" s="8">
        <f>SUM(C3:C5)</f>
        <v/>
      </c>
      <c r="D6" t="inlineStr"/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Tranche Detail - Use of Funds</t>
        </is>
      </c>
    </row>
    <row r="2">
      <c r="A2" s="2" t="inlineStr">
        <is>
          <t>Category</t>
        </is>
      </c>
      <c r="B2" s="2" t="inlineStr">
        <is>
          <t>Item</t>
        </is>
      </c>
      <c r="C2" s="2" t="inlineStr">
        <is>
          <t>Tranche A</t>
        </is>
      </c>
      <c r="D2" s="2" t="inlineStr">
        <is>
          <t>Tranche B</t>
        </is>
      </c>
      <c r="E2" s="2" t="inlineStr">
        <is>
          <t>Tranche C</t>
        </is>
      </c>
      <c r="F2" s="2" t="inlineStr">
        <is>
          <t>Total</t>
        </is>
      </c>
    </row>
    <row r="3">
      <c r="A3" t="inlineStr">
        <is>
          <t>Payroll</t>
        </is>
      </c>
      <c r="B3" t="inlineStr">
        <is>
          <t>Founders (2)</t>
        </is>
      </c>
      <c r="C3" s="6">
        <f>Assumptions!C22*2*(Summary!C3/12)</f>
        <v/>
      </c>
      <c r="D3" s="6">
        <f>(Assumptions!C23*2*(3/12))+(Assumptions!C24*2*(9/12))</f>
        <v/>
      </c>
      <c r="E3" s="6">
        <f>Assumptions!C24*2*(Summary!C5/12)</f>
        <v/>
      </c>
      <c r="F3" s="6">
        <f>SUM(C3:E3)</f>
        <v/>
      </c>
    </row>
    <row r="4">
      <c r="A4" t="inlineStr">
        <is>
          <t>Payroll</t>
        </is>
      </c>
      <c r="B4" t="inlineStr">
        <is>
          <t>Engineers (2)</t>
        </is>
      </c>
      <c r="C4" s="6">
        <f>Assumptions!C20*2*(1+Assumptions!C19)*(Summary!C3/12)</f>
        <v/>
      </c>
      <c r="D4" s="6">
        <f>Assumptions!C20*2*(1+Assumptions!C19)*(Summary!C4/12)</f>
        <v/>
      </c>
      <c r="E4" s="6">
        <f>Assumptions!C20*2*(1+Assumptions!C19)*(Summary!C5/12)</f>
        <v/>
      </c>
      <c r="F4" s="6">
        <f>SUM(C4:E4)</f>
        <v/>
      </c>
    </row>
    <row r="5">
      <c r="A5" t="inlineStr">
        <is>
          <t>Payroll</t>
        </is>
      </c>
      <c r="B5" t="inlineStr">
        <is>
          <t>Sales (1 -&gt; 2)</t>
        </is>
      </c>
      <c r="C5" s="6" t="n">
        <v>0</v>
      </c>
      <c r="D5" s="6">
        <f>Assumptions!C21*1*(1+Assumptions!C19)*(Summary!C4/12)</f>
        <v/>
      </c>
      <c r="E5" s="6">
        <f>Assumptions!C21*2*(1+Assumptions!C19)*(Summary!C5/12)</f>
        <v/>
      </c>
      <c r="F5" s="6">
        <f>SUM(C5:E5)</f>
        <v/>
      </c>
    </row>
    <row r="6">
      <c r="A6" s="3" t="inlineStr">
        <is>
          <t>Payroll</t>
        </is>
      </c>
      <c r="B6" s="3" t="inlineStr">
        <is>
          <t>Total Payroll</t>
        </is>
      </c>
      <c r="C6" s="7">
        <f>SUM(C3:C5)</f>
        <v/>
      </c>
      <c r="D6" s="7">
        <f>SUM(D3:D5)</f>
        <v/>
      </c>
      <c r="E6" s="7">
        <f>SUM(E3:E5)</f>
        <v/>
      </c>
      <c r="F6" s="7">
        <f>SUM(F3:F5)</f>
        <v/>
      </c>
    </row>
    <row r="7">
      <c r="A7" t="inlineStr">
        <is>
          <t>Sales &amp; Marketing</t>
        </is>
      </c>
      <c r="B7" t="inlineStr">
        <is>
          <t>CAC - Ambassador</t>
        </is>
      </c>
      <c r="C7" s="6" t="n">
        <v>10000</v>
      </c>
      <c r="D7" s="6" t="n">
        <v>50000</v>
      </c>
      <c r="E7" s="6" t="n">
        <v>100000</v>
      </c>
      <c r="F7" s="6">
        <f>SUM(C7:E7)</f>
        <v/>
      </c>
    </row>
    <row r="8">
      <c r="A8" t="inlineStr">
        <is>
          <t>Sales &amp; Marketing</t>
        </is>
      </c>
      <c r="B8" t="inlineStr">
        <is>
          <t>CAC - Social/Digital</t>
        </is>
      </c>
      <c r="C8" s="6" t="n">
        <v>20000</v>
      </c>
      <c r="D8" s="6" t="n">
        <v>75000</v>
      </c>
      <c r="E8" s="6" t="n">
        <v>150000</v>
      </c>
      <c r="F8" s="6">
        <f>SUM(C8:E8)</f>
        <v/>
      </c>
    </row>
    <row r="9">
      <c r="A9" t="inlineStr">
        <is>
          <t>Sales &amp; Marketing</t>
        </is>
      </c>
      <c r="B9" t="inlineStr">
        <is>
          <t>CAC - Organization</t>
        </is>
      </c>
      <c r="C9" s="6" t="n">
        <v>5000</v>
      </c>
      <c r="D9" s="6" t="n">
        <v>30000</v>
      </c>
      <c r="E9" s="6" t="n">
        <v>60000</v>
      </c>
      <c r="F9" s="6">
        <f>SUM(C9:E9)</f>
        <v/>
      </c>
    </row>
    <row r="10">
      <c r="A10" t="inlineStr">
        <is>
          <t>Sales &amp; Marketing</t>
        </is>
      </c>
      <c r="B10" t="inlineStr">
        <is>
          <t>Total S&amp;M</t>
        </is>
      </c>
      <c r="C10" s="6">
        <f>SUM(C7:C9)</f>
        <v/>
      </c>
      <c r="D10" s="6">
        <f>SUM(D7:D9)</f>
        <v/>
      </c>
      <c r="E10" s="6">
        <f>SUM(E7:E9)</f>
        <v/>
      </c>
      <c r="F10" s="6">
        <f>SUM(F7:F9)</f>
        <v/>
      </c>
    </row>
    <row r="11">
      <c r="A11" s="3" t="inlineStr">
        <is>
          <t>R&amp;D</t>
        </is>
      </c>
      <c r="B11" s="3" t="inlineStr">
        <is>
          <t>Software &amp; Services</t>
        </is>
      </c>
      <c r="C11" s="7" t="n">
        <v>15000</v>
      </c>
      <c r="D11" s="7" t="n">
        <v>30000</v>
      </c>
      <c r="E11" s="7" t="n">
        <v>50000</v>
      </c>
      <c r="F11" s="7">
        <f>SUM(C11:E11)</f>
        <v/>
      </c>
    </row>
    <row r="12">
      <c r="A12" t="inlineStr">
        <is>
          <t>R&amp;D</t>
        </is>
      </c>
      <c r="B12" t="inlineStr">
        <is>
          <t>Total R&amp;D</t>
        </is>
      </c>
      <c r="C12" s="6">
        <f>C11</f>
        <v/>
      </c>
      <c r="D12" s="6">
        <f>D11</f>
        <v/>
      </c>
      <c r="E12" s="6">
        <f>E11</f>
        <v/>
      </c>
      <c r="F12" s="6">
        <f>F11</f>
        <v/>
      </c>
    </row>
    <row r="13">
      <c r="A13" t="inlineStr">
        <is>
          <t>Infra</t>
        </is>
      </c>
      <c r="B13" t="inlineStr">
        <is>
          <t>Hosting &amp; Data</t>
        </is>
      </c>
      <c r="C13" s="6">
        <f>Infra_Estimates!F6*(Summary!C3/12)</f>
        <v/>
      </c>
      <c r="D13" s="6">
        <f>Infra_Estimates!F6</f>
        <v/>
      </c>
      <c r="E13" s="6">
        <f>Infra_Estimates!F6*1.5</f>
        <v/>
      </c>
      <c r="F13" s="6">
        <f>SUM(C13:E13)</f>
        <v/>
      </c>
    </row>
    <row r="14">
      <c r="A14" s="3" t="inlineStr">
        <is>
          <t>Infra</t>
        </is>
      </c>
      <c r="B14" s="3" t="inlineStr">
        <is>
          <t>Total Infra</t>
        </is>
      </c>
      <c r="C14" s="7">
        <f>C13</f>
        <v/>
      </c>
      <c r="D14" s="7">
        <f>D13</f>
        <v/>
      </c>
      <c r="E14" s="7">
        <f>E13</f>
        <v/>
      </c>
      <c r="F14" s="7">
        <f>F13</f>
        <v/>
      </c>
    </row>
    <row r="15">
      <c r="A15" t="inlineStr">
        <is>
          <t>G&amp;A</t>
        </is>
      </c>
      <c r="B15" t="inlineStr">
        <is>
          <t>Legal &amp; Admin</t>
        </is>
      </c>
      <c r="C15" s="6" t="n">
        <v>20000</v>
      </c>
      <c r="D15" s="6" t="n">
        <v>30000</v>
      </c>
      <c r="E15" s="6" t="n">
        <v>40000</v>
      </c>
      <c r="F15" s="6">
        <f>SUM(C15:E15)</f>
        <v/>
      </c>
    </row>
    <row r="16">
      <c r="A16" t="inlineStr">
        <is>
          <t>G&amp;A</t>
        </is>
      </c>
      <c r="B16" t="inlineStr">
        <is>
          <t>Office &amp; Misc</t>
        </is>
      </c>
      <c r="C16" s="6" t="n">
        <v>10000</v>
      </c>
      <c r="D16" s="6" t="n">
        <v>20000</v>
      </c>
      <c r="E16" s="6" t="n">
        <v>30000</v>
      </c>
      <c r="F16" s="6">
        <f>SUM(C16:E16)</f>
        <v/>
      </c>
    </row>
    <row r="17">
      <c r="A17" s="3" t="inlineStr">
        <is>
          <t>G&amp;A</t>
        </is>
      </c>
      <c r="B17" s="3" t="inlineStr">
        <is>
          <t>Total G&amp;A</t>
        </is>
      </c>
      <c r="C17" s="7">
        <f>SUM(C15:C16)</f>
        <v/>
      </c>
      <c r="D17" s="7">
        <f>SUM(D15:D16)</f>
        <v/>
      </c>
      <c r="E17" s="7">
        <f>SUM(E15:E16)</f>
        <v/>
      </c>
      <c r="F17" s="7">
        <f>SUM(F15:F16)</f>
        <v/>
      </c>
    </row>
    <row r="18">
      <c r="A18" t="inlineStr"/>
      <c r="B18" t="inlineStr"/>
      <c r="C18" s="6" t="inlineStr"/>
      <c r="D18" s="6" t="inlineStr"/>
      <c r="E18" s="6" t="inlineStr"/>
      <c r="F18" s="6" t="inlineStr"/>
    </row>
    <row r="19">
      <c r="A19" t="inlineStr">
        <is>
          <t>Total Allocation</t>
        </is>
      </c>
      <c r="B19" t="inlineStr"/>
      <c r="C19" s="6">
        <f>SUM(C6,C10,C12,C14,C17)</f>
        <v/>
      </c>
      <c r="D19" s="6">
        <f>SUM(D6,D10,D12,D14,D17)</f>
        <v/>
      </c>
      <c r="E19" s="6">
        <f>SUM(E6,E10,E12,E14,E17)</f>
        <v/>
      </c>
      <c r="F19" s="6">
        <f>SUM(F6,F10,F12,F14,F17)</f>
        <v/>
      </c>
    </row>
    <row r="20">
      <c r="A20" t="inlineStr">
        <is>
          <t>Tranche Amount</t>
        </is>
      </c>
      <c r="B20" t="inlineStr"/>
      <c r="C20" s="6">
        <f>Assumptions!C30</f>
        <v/>
      </c>
      <c r="D20" s="6">
        <f>Assumptions!C31</f>
        <v/>
      </c>
      <c r="E20" s="6">
        <f>Assumptions!C32</f>
        <v/>
      </c>
      <c r="F20" s="6">
        <f>SUM(C20:E20)</f>
        <v/>
      </c>
    </row>
    <row r="21">
      <c r="A21" s="3" t="inlineStr">
        <is>
          <t>Surplus / Deficit</t>
        </is>
      </c>
      <c r="B21" s="3" t="inlineStr"/>
      <c r="C21" s="7">
        <f>C20-C19</f>
        <v/>
      </c>
      <c r="D21" s="7">
        <f>D20-D19</f>
        <v/>
      </c>
      <c r="E21" s="7">
        <f>E20-E19</f>
        <v/>
      </c>
      <c r="F21" s="7">
        <f>F20-F19</f>
        <v/>
      </c>
    </row>
    <row r="22">
      <c r="C22" s="6" t="n"/>
      <c r="D22" s="6" t="n"/>
      <c r="E22" s="6" t="n"/>
      <c r="F22" s="6" t="n"/>
    </row>
    <row r="23">
      <c r="A23" s="3" t="n"/>
      <c r="B23" s="3" t="n"/>
      <c r="C23" s="7" t="n"/>
      <c r="D23" s="7" t="n"/>
      <c r="E23" s="7" t="n"/>
      <c r="F23" s="7" t="n"/>
    </row>
    <row r="24">
      <c r="A24" s="3" t="n"/>
      <c r="B24" s="3" t="n"/>
      <c r="C24" s="7" t="n"/>
      <c r="D24" s="7" t="n"/>
      <c r="E24" s="7" t="n"/>
      <c r="F24" s="7" t="n"/>
    </row>
    <row r="25">
      <c r="A25" s="3" t="n"/>
      <c r="B25" s="3" t="n"/>
      <c r="C25" s="7" t="n"/>
      <c r="D25" s="7" t="n"/>
      <c r="E25" s="7" t="n"/>
      <c r="F2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County &amp; League Growth Model (Base Scenario)</t>
        </is>
      </c>
    </row>
    <row r="2">
      <c r="A2" s="2" t="inlineStr">
        <is>
          <t>Metric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Total</t>
        </is>
      </c>
    </row>
    <row r="3">
      <c r="A3" t="inlineStr">
        <is>
          <t>Counties Targeted (New)</t>
        </is>
      </c>
      <c r="B3" s="4">
        <f>Assumptions!C3</f>
        <v/>
      </c>
      <c r="C3" s="4" t="n">
        <v>10</v>
      </c>
      <c r="D3" s="4" t="n">
        <v>20</v>
      </c>
      <c r="E3" s="4">
        <f>SUM(B3:D3)</f>
        <v/>
      </c>
    </row>
    <row r="4">
      <c r="A4" t="inlineStr">
        <is>
          <t>New Leagues Acquired</t>
        </is>
      </c>
      <c r="B4" s="4">
        <f>B3*Assumptions!C4</f>
        <v/>
      </c>
      <c r="C4" s="4">
        <f>C3*Assumptions!C4</f>
        <v/>
      </c>
      <c r="D4" s="4">
        <f>D3*Assumptions!C4</f>
        <v/>
      </c>
      <c r="E4" s="4">
        <f>SUM(B4:D4)</f>
        <v/>
      </c>
    </row>
    <row r="5">
      <c r="A5" t="inlineStr">
        <is>
          <t>Total Leagues (Cumulative)</t>
        </is>
      </c>
      <c r="B5" s="4">
        <f>B4</f>
        <v/>
      </c>
      <c r="C5" s="4">
        <f>B5+C4</f>
        <v/>
      </c>
      <c r="D5" s="4">
        <f>C5+D4</f>
        <v/>
      </c>
      <c r="E5" s="4">
        <f>D5</f>
        <v/>
      </c>
    </row>
    <row r="6">
      <c r="A6" t="inlineStr"/>
      <c r="B6" t="inlineStr"/>
      <c r="C6" t="inlineStr"/>
      <c r="D6" t="inlineStr"/>
      <c r="E6" t="inlineStr"/>
    </row>
    <row r="7">
      <c r="A7" s="3" t="inlineStr">
        <is>
          <t>User Base</t>
        </is>
      </c>
      <c r="B7" t="inlineStr">
        <is>
          <t>Year 1</t>
        </is>
      </c>
      <c r="C7" t="inlineStr">
        <is>
          <t>Year 2</t>
        </is>
      </c>
      <c r="D7" t="inlineStr">
        <is>
          <t>Year 3</t>
        </is>
      </c>
      <c r="E7" t="inlineStr">
        <is>
          <t>Total</t>
        </is>
      </c>
    </row>
    <row r="8">
      <c r="A8" t="inlineStr">
        <is>
          <t>Total Umpires</t>
        </is>
      </c>
      <c r="B8" s="4">
        <f>B5*Assumptions!C5</f>
        <v/>
      </c>
      <c r="C8" s="4">
        <f>C5*Assumptions!C5</f>
        <v/>
      </c>
      <c r="D8" s="4">
        <f>D5*Assumptions!C5</f>
        <v/>
      </c>
      <c r="E8" s="4">
        <f>D8</f>
        <v/>
      </c>
    </row>
    <row r="9">
      <c r="A9" t="inlineStr">
        <is>
          <t>Total Parents (Potential)</t>
        </is>
      </c>
      <c r="B9" s="4">
        <f>B8*Assumptions!C6</f>
        <v/>
      </c>
      <c r="C9" s="4">
        <f>C8*Assumptions!C6</f>
        <v/>
      </c>
      <c r="D9" s="4">
        <f>D8*Assumptions!C6</f>
        <v/>
      </c>
      <c r="E9" s="4">
        <f>D9</f>
        <v/>
      </c>
    </row>
    <row r="10">
      <c r="A10" t="inlineStr">
        <is>
          <t>Total Coaches (Potential)</t>
        </is>
      </c>
      <c r="B10" s="4">
        <f>B5*Assumptions!C7</f>
        <v/>
      </c>
      <c r="C10" s="4">
        <f>C5*Assumptions!C7</f>
        <v/>
      </c>
      <c r="D10" s="4">
        <f>D5*Assumptions!C7</f>
        <v/>
      </c>
      <c r="E10" s="4">
        <f>D10</f>
        <v/>
      </c>
    </row>
    <row r="11">
      <c r="A11" t="inlineStr"/>
      <c r="B11" t="inlineStr"/>
      <c r="C11" t="inlineStr"/>
      <c r="D11" t="inlineStr"/>
      <c r="E11" t="inlineStr"/>
    </row>
    <row r="12">
      <c r="A12" s="3" t="inlineStr">
        <is>
          <t>Paid Conversions (New)</t>
        </is>
      </c>
      <c r="B12" t="inlineStr">
        <is>
          <t>Year 1</t>
        </is>
      </c>
      <c r="C12" t="inlineStr">
        <is>
          <t>Year 2</t>
        </is>
      </c>
      <c r="D12" t="inlineStr">
        <is>
          <t>Year 3</t>
        </is>
      </c>
      <c r="E12" t="inlineStr">
        <is>
          <t>Total</t>
        </is>
      </c>
    </row>
    <row r="13">
      <c r="A13" t="inlineStr">
        <is>
          <t>Paid Parents</t>
        </is>
      </c>
      <c r="B13" s="4">
        <f>B9*Assumptions!C8</f>
        <v/>
      </c>
      <c r="C13" s="4">
        <f>C9*Assumptions!C8</f>
        <v/>
      </c>
      <c r="D13" s="4">
        <f>D9*Assumptions!C8</f>
        <v/>
      </c>
      <c r="E13" s="4">
        <f>SUM(B13:D13)</f>
        <v/>
      </c>
    </row>
    <row r="14">
      <c r="A14" t="inlineStr">
        <is>
          <t>Paid Coaches</t>
        </is>
      </c>
      <c r="B14" s="4">
        <f>B10*Assumptions!C9</f>
        <v/>
      </c>
      <c r="C14" s="4">
        <f>C10*Assumptions!C9</f>
        <v/>
      </c>
      <c r="D14" s="4">
        <f>D10*Assumptions!C9</f>
        <v/>
      </c>
      <c r="E14" s="4">
        <f>SUM(B14:D14)</f>
        <v/>
      </c>
    </row>
    <row r="15">
      <c r="A15" t="inlineStr">
        <is>
          <t>Paid Organizations</t>
        </is>
      </c>
      <c r="B15" s="4">
        <f>B4*Assumptions!C10</f>
        <v/>
      </c>
      <c r="C15" s="4">
        <f>(C4*Assumptions!C10)</f>
        <v/>
      </c>
      <c r="D15" s="4">
        <f>(D4*Assumptions!C10)</f>
        <v/>
      </c>
      <c r="E15" s="4">
        <f>SUM(B15:D15)</f>
        <v/>
      </c>
    </row>
    <row r="16">
      <c r="A16" t="inlineStr"/>
      <c r="B16" t="inlineStr"/>
      <c r="C16" t="inlineStr"/>
      <c r="D16" t="inlineStr"/>
      <c r="E16" t="inlineStr"/>
    </row>
    <row r="17">
      <c r="A17" s="3" t="inlineStr">
        <is>
          <t>Annual Recurring Revenue (ARR)</t>
        </is>
      </c>
      <c r="B17" t="inlineStr">
        <is>
          <t>Year 1</t>
        </is>
      </c>
      <c r="C17" t="inlineStr">
        <is>
          <t>Year 2</t>
        </is>
      </c>
      <c r="D17" t="inlineStr">
        <is>
          <t>Year 3</t>
        </is>
      </c>
      <c r="E17" t="inlineStr">
        <is>
          <t>Total</t>
        </is>
      </c>
    </row>
    <row r="18">
      <c r="A18" t="inlineStr">
        <is>
          <t>Parent App Revenue</t>
        </is>
      </c>
      <c r="B18" s="6">
        <f>B13*Assumptions!C11</f>
        <v/>
      </c>
      <c r="C18" s="6">
        <f>C13*Assumptions!C11</f>
        <v/>
      </c>
      <c r="D18" s="6">
        <f>D13*Assumptions!C11</f>
        <v/>
      </c>
      <c r="E18" s="6">
        <f>SUM(B18:D18)</f>
        <v/>
      </c>
    </row>
    <row r="19">
      <c r="A19" t="inlineStr">
        <is>
          <t>Coach App Revenue</t>
        </is>
      </c>
      <c r="B19" s="6">
        <f>B14*Assumptions!C11</f>
        <v/>
      </c>
      <c r="C19" s="6">
        <f>C14*Assumptions!C11</f>
        <v/>
      </c>
      <c r="D19" s="6">
        <f>D14*Assumptions!C11</f>
        <v/>
      </c>
      <c r="E19" s="6">
        <f>SUM(B19:D19)</f>
        <v/>
      </c>
    </row>
    <row r="20">
      <c r="A20" t="inlineStr">
        <is>
          <t>Organization Revenue</t>
        </is>
      </c>
      <c r="B20" s="6">
        <f>B15*Assumptions!C12</f>
        <v/>
      </c>
      <c r="C20" s="6">
        <f>C15*Assumptions!C12</f>
        <v/>
      </c>
      <c r="D20" s="6">
        <f>D15*Assumptions!C12</f>
        <v/>
      </c>
      <c r="E20" s="6">
        <f>SUM(B20:D20)</f>
        <v/>
      </c>
    </row>
    <row r="21">
      <c r="A21" t="inlineStr">
        <is>
          <t>Total ARR</t>
        </is>
      </c>
      <c r="B21" s="6">
        <f>SUM(B18:B20)</f>
        <v/>
      </c>
      <c r="C21" s="6">
        <f>SUM(C18:C20)</f>
        <v/>
      </c>
      <c r="D21" s="6">
        <f>SUM(D18:D20)</f>
        <v/>
      </c>
      <c r="E21" s="6">
        <f>SUM(B21:D21)</f>
        <v/>
      </c>
    </row>
    <row r="22">
      <c r="A22" t="inlineStr">
        <is>
          <t>Total MRR (Avg Year 3)</t>
        </is>
      </c>
      <c r="B22" s="6" t="inlineStr"/>
      <c r="C22" s="6" t="inlineStr"/>
      <c r="D22" s="6">
        <f>D21/12</f>
        <v/>
      </c>
      <c r="E22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Unit Economics (Base Scenario)</t>
        </is>
      </c>
    </row>
    <row r="2">
      <c r="A2" s="2" t="inlineStr">
        <is>
          <t>Metric</t>
        </is>
      </c>
      <c r="B2" s="2" t="inlineStr">
        <is>
          <t>Parent (App)</t>
        </is>
      </c>
      <c r="C2" s="2" t="inlineStr">
        <is>
          <t>Coach (App)</t>
        </is>
      </c>
      <c r="D2" s="2" t="inlineStr">
        <is>
          <t>Organization (League)</t>
        </is>
      </c>
      <c r="E2" s="2" t="inlineStr">
        <is>
          <t>Blended</t>
        </is>
      </c>
    </row>
    <row r="3">
      <c r="A3" t="inlineStr">
        <is>
          <t>ARPU (Annual)</t>
        </is>
      </c>
      <c r="B3" s="6">
        <f>Assumptions!C11</f>
        <v/>
      </c>
      <c r="C3" s="6">
        <f>Assumptions!C11</f>
        <v/>
      </c>
      <c r="D3" s="6">
        <f>Assumptions!C12</f>
        <v/>
      </c>
      <c r="E3" s="6">
        <f>County_League_Model!D21 / (County_League_Model!D13 + County_League_Model!D14 + County_League_Model!D15)</f>
        <v/>
      </c>
    </row>
    <row r="4">
      <c r="A4" t="inlineStr">
        <is>
          <t>Gross Margin</t>
        </is>
      </c>
      <c r="B4" s="5">
        <f>Assumptions!C15</f>
        <v/>
      </c>
      <c r="C4" s="5">
        <f>Assumptions!C15</f>
        <v/>
      </c>
      <c r="D4" s="5">
        <f>Assumptions!C15</f>
        <v/>
      </c>
      <c r="E4" s="5">
        <f>Assumptions!C15</f>
        <v/>
      </c>
    </row>
    <row r="5">
      <c r="A5" t="inlineStr">
        <is>
          <t>Contribution Margin (Annual)</t>
        </is>
      </c>
      <c r="B5" s="6">
        <f>B3*B4</f>
        <v/>
      </c>
      <c r="C5" s="6">
        <f>C3*C4</f>
        <v/>
      </c>
      <c r="D5" s="6">
        <f>D3*D4</f>
        <v/>
      </c>
      <c r="E5" s="6">
        <f>E3*E4</f>
        <v/>
      </c>
    </row>
    <row r="6">
      <c r="A6" t="inlineStr">
        <is>
          <t>Lifetime (Years)</t>
        </is>
      </c>
      <c r="B6" s="9">
        <f>Assumptions!C14</f>
        <v/>
      </c>
      <c r="C6" s="9">
        <f>Assumptions!C14</f>
        <v/>
      </c>
      <c r="D6" s="9">
        <f>Assumptions!C14</f>
        <v/>
      </c>
      <c r="E6" s="9">
        <f>Assumptions!C14</f>
        <v/>
      </c>
    </row>
    <row r="7">
      <c r="A7" t="inlineStr">
        <is>
          <t>LTV</t>
        </is>
      </c>
      <c r="B7" s="6">
        <f>B5*B6</f>
        <v/>
      </c>
      <c r="C7" s="6">
        <f>C5*C6</f>
        <v/>
      </c>
      <c r="D7" s="6">
        <f>D5*D6</f>
        <v/>
      </c>
      <c r="E7" s="6">
        <f>E5*E6</f>
        <v/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CAC</t>
        </is>
      </c>
      <c r="B9" s="6">
        <f>Assumptions!C18</f>
        <v/>
      </c>
      <c r="C9" s="6">
        <f>Assumptions!C18</f>
        <v/>
      </c>
      <c r="D9" s="6">
        <f>Assumptions!C19</f>
        <v/>
      </c>
      <c r="E9" s="6" t="inlineStr">
        <is>
          <t>N/A</t>
        </is>
      </c>
    </row>
    <row r="10">
      <c r="A10" t="inlineStr">
        <is>
          <t>LTV / CAC Ratio</t>
        </is>
      </c>
      <c r="B10" s="9">
        <f>B7/B9</f>
        <v/>
      </c>
      <c r="C10" s="9">
        <f>C7/C9</f>
        <v/>
      </c>
      <c r="D10" s="9">
        <f>D7/D9</f>
        <v/>
      </c>
      <c r="E10" s="9" t="inlineStr">
        <is>
          <t>N/A</t>
        </is>
      </c>
    </row>
    <row r="11">
      <c r="A11" t="inlineStr">
        <is>
          <t>Payback Period (Months)</t>
        </is>
      </c>
      <c r="B11" s="9">
        <f>(B9/B5)*12</f>
        <v/>
      </c>
      <c r="C11" s="9">
        <f>(C9/C5)*12</f>
        <v/>
      </c>
      <c r="D11" s="9">
        <f>(D9/D5)*12</f>
        <v/>
      </c>
      <c r="E11" s="9" t="inlineStr">
        <is>
          <t>N/A</t>
        </is>
      </c>
    </row>
  </sheetData>
  <conditionalFormatting sqref="B10:D10">
    <cfRule type="colorScale" priority="1">
      <colorScale>
        <cfvo type="num" val="1"/>
        <cfvo type="num" val="3"/>
        <cfvo type="num" val="5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Monthly Cash Runway</t>
        </is>
      </c>
    </row>
    <row r="2">
      <c r="A2" s="2" t="inlineStr">
        <is>
          <t>Month</t>
        </is>
      </c>
      <c r="B2" s="2" t="inlineStr">
        <is>
          <t>Opening Cash</t>
        </is>
      </c>
      <c r="C2" s="2" t="inlineStr">
        <is>
          <t>Financing</t>
        </is>
      </c>
      <c r="D2" s="2" t="inlineStr">
        <is>
          <t>Revenue</t>
        </is>
      </c>
      <c r="E2" s="2" t="inlineStr">
        <is>
          <t>Total Cash In</t>
        </is>
      </c>
      <c r="F2" s="2" t="inlineStr">
        <is>
          <t>Payroll</t>
        </is>
      </c>
      <c r="G2" s="2" t="inlineStr">
        <is>
          <t>S&amp;M</t>
        </is>
      </c>
      <c r="H2" s="2" t="inlineStr">
        <is>
          <t>R&amp;D</t>
        </is>
      </c>
      <c r="I2" s="2" t="inlineStr">
        <is>
          <t>Infra</t>
        </is>
      </c>
      <c r="J2" s="2" t="inlineStr">
        <is>
          <t>G&amp;A</t>
        </is>
      </c>
      <c r="K2" s="2" t="inlineStr">
        <is>
          <t>Total Cash Out</t>
        </is>
      </c>
      <c r="L2" s="2" t="inlineStr">
        <is>
          <t>Net Burn</t>
        </is>
      </c>
      <c r="M2" s="2" t="inlineStr">
        <is>
          <t>Closing Cash</t>
        </is>
      </c>
      <c r="N2" s="2" t="inlineStr">
        <is>
          <t>Runway (Months)</t>
        </is>
      </c>
      <c r="O2" s="2" t="n"/>
      <c r="P2" s="2" t="n"/>
    </row>
    <row r="3">
      <c r="A3" t="n">
        <v>1</v>
      </c>
      <c r="B3" s="6" t="n">
        <v>0</v>
      </c>
      <c r="C3" s="6">
        <f>Assumptions!C30</f>
        <v/>
      </c>
      <c r="D3" s="6" t="n">
        <v>0</v>
      </c>
      <c r="E3" s="6">
        <f>C3+D3</f>
        <v/>
      </c>
      <c r="F3" s="6">
        <f>(Tranche_Detail!C6) / Summary!C3</f>
        <v/>
      </c>
      <c r="G3" s="6">
        <f>(Tranche_Detail!C10) / Summary!C3</f>
        <v/>
      </c>
      <c r="H3" s="6">
        <f>(Tranche_Detail!C12) / Summary!C3</f>
        <v/>
      </c>
      <c r="I3" s="6">
        <f>(Tranche_Detail!C14) / Summary!C3</f>
        <v/>
      </c>
      <c r="J3" s="6">
        <f>(Tranche_Detail!C17) / Summary!C3</f>
        <v/>
      </c>
      <c r="K3" s="6">
        <f>SUM(F3:J3)</f>
        <v/>
      </c>
      <c r="L3" s="6">
        <f>K3-D3</f>
        <v/>
      </c>
      <c r="M3" s="6">
        <f>B3+E3-K3</f>
        <v/>
      </c>
      <c r="N3" s="9">
        <f>IF(L3&gt;0, M3/L3, 999)</f>
        <v/>
      </c>
      <c r="O3" t="inlineStr">
        <is>
          <t>Tranche A Monthly Burn</t>
        </is>
      </c>
      <c r="P3">
        <f>(Tranche_Detail!C19) / Summary!C3</f>
        <v/>
      </c>
    </row>
    <row r="4">
      <c r="A4" t="n">
        <v>2</v>
      </c>
      <c r="B4" s="6">
        <f>M3</f>
        <v/>
      </c>
      <c r="C4" s="6" t="n">
        <v>0</v>
      </c>
      <c r="D4" s="6">
        <f>IF(A4&lt;=12, (County_League_Model!B21/12)*(A4/12), IF(A4&lt;=24, (County_League_Model!C21/12), (County_League_Model!D21/12)))</f>
        <v/>
      </c>
      <c r="E4" s="6">
        <f>C4+D4</f>
        <v/>
      </c>
      <c r="F4" s="6">
        <f>IF(A4&lt;=Summary!C3, (Tranche_Detail!C6)/Summary!C3, IF(A4&lt;=(Summary!C3+Summary!C4), (Tranche_Detail!D6)/Summary!C4, (Tranche_Detail!E6)/Summary!C5))</f>
        <v/>
      </c>
      <c r="G4" s="6">
        <f>IF(A4&lt;=Summary!C3, (Tranche_Detail!C10)/Summary!C3, IF(A4&lt;=(Summary!C3+Summary!C4), (Tranche_Detail!D10)/Summary!C4, (Tranche_Detail!E10)/Summary!C5))</f>
        <v/>
      </c>
      <c r="H4" s="6">
        <f>IF(A4&lt;=Summary!C3, (Tranche_Detail!C12)/Summary!C3, IF(A4&lt;=(Summary!C3+Summary!C4), (Tranche_Detail!D12)/Summary!C4, (Tranche_Detail!E12)/Summary!C5))</f>
        <v/>
      </c>
      <c r="I4" s="6">
        <f>IF(A4&lt;=Summary!C3, (Tranche_Detail!C14)/Summary!C3, IF(A4&lt;=(Summary!C3+Summary!C4), (Tranche_Detail!D14)/Summary!C4, (Tranche_Detail!E14)/Summary!C5))</f>
        <v/>
      </c>
      <c r="J4" s="6">
        <f>IF(A4&lt;=Summary!C3, (Tranche_Detail!C17)/Summary!C3, IF(A4&lt;=(Summary!C3+Summary!C4), (Tranche_Detail!D17)/Summary!C4, (Tranche_Detail!E17)/Summary!C5))</f>
        <v/>
      </c>
      <c r="K4" s="6">
        <f>SUM(F4:J4)</f>
        <v/>
      </c>
      <c r="L4" s="6">
        <f>K4-D4</f>
        <v/>
      </c>
      <c r="M4" s="6">
        <f>B4+E4-K4</f>
        <v/>
      </c>
      <c r="N4" s="9">
        <f>IF(L4&gt;0, M4/L4, 999)</f>
        <v/>
      </c>
      <c r="O4" t="inlineStr">
        <is>
          <t>Tranche B Monthly Burn</t>
        </is>
      </c>
      <c r="P4">
        <f>(Tranche_Detail!D19) / Summary!C4</f>
        <v/>
      </c>
    </row>
    <row r="5">
      <c r="A5" t="n">
        <v>3</v>
      </c>
      <c r="B5" s="6">
        <f>M4</f>
        <v/>
      </c>
      <c r="C5" s="6" t="n">
        <v>0</v>
      </c>
      <c r="D5" s="6">
        <f>IF(A5&lt;=12, (County_League_Model!B21/12)*(A5/12), IF(A5&lt;=24, (County_League_Model!C21/12), (County_League_Model!D21/12)))</f>
        <v/>
      </c>
      <c r="E5" s="6">
        <f>C5+D5</f>
        <v/>
      </c>
      <c r="F5" s="6">
        <f>IF(A5&lt;=Summary!C3, (Tranche_Detail!C6)/Summary!C3, IF(A5&lt;=(Summary!C3+Summary!C4), (Tranche_Detail!D6)/Summary!C4, (Tranche_Detail!E6)/Summary!C5))</f>
        <v/>
      </c>
      <c r="G5" s="6">
        <f>IF(A5&lt;=Summary!C3, (Tranche_Detail!C10)/Summary!C3, IF(A5&lt;=(Summary!C3+Summary!C4), (Tranche_Detail!D10)/Summary!C4, (Tranche_Detail!E10)/Summary!C5))</f>
        <v/>
      </c>
      <c r="H5" s="6">
        <f>IF(A5&lt;=Summary!C3, (Tranche_Detail!C12)/Summary!C3, IF(A5&lt;=(Summary!C3+Summary!C4), (Tranche_Detail!D12)/Summary!C4, (Tranche_Detail!E12)/Summary!C5))</f>
        <v/>
      </c>
      <c r="I5" s="6">
        <f>IF(A5&lt;=Summary!C3, (Tranche_Detail!C14)/Summary!C3, IF(A5&lt;=(Summary!C3+Summary!C4), (Tranche_Detail!D14)/Summary!C4, (Tranche_Detail!E14)/Summary!C5))</f>
        <v/>
      </c>
      <c r="J5" s="6">
        <f>IF(A5&lt;=Summary!C3, (Tranche_Detail!C17)/Summary!C3, IF(A5&lt;=(Summary!C3+Summary!C4), (Tranche_Detail!D17)/Summary!C4, (Tranche_Detail!E17)/Summary!C5))</f>
        <v/>
      </c>
      <c r="K5" s="6">
        <f>SUM(F5:J5)</f>
        <v/>
      </c>
      <c r="L5" s="6">
        <f>K5-D5</f>
        <v/>
      </c>
      <c r="M5" s="6">
        <f>B5+E5-K5</f>
        <v/>
      </c>
      <c r="N5" s="9">
        <f>IF(L5&gt;0, M5/L5, 999)</f>
        <v/>
      </c>
      <c r="O5" t="inlineStr">
        <is>
          <t>Tranche C Monthly Burn</t>
        </is>
      </c>
      <c r="P5">
        <f>(Tranche_Detail!E19) / Summary!C5</f>
        <v/>
      </c>
    </row>
    <row r="6">
      <c r="A6" t="n">
        <v>4</v>
      </c>
      <c r="B6" s="6">
        <f>M5</f>
        <v/>
      </c>
      <c r="C6" s="6" t="n">
        <v>0</v>
      </c>
      <c r="D6" s="6">
        <f>IF(A6&lt;=12, (County_League_Model!B21/12)*(A6/12), IF(A6&lt;=24, (County_League_Model!C21/12), (County_League_Model!D21/12)))</f>
        <v/>
      </c>
      <c r="E6" s="6">
        <f>C6+D6</f>
        <v/>
      </c>
      <c r="F6" s="6">
        <f>IF(A6&lt;=Summary!C3, (Tranche_Detail!C6)/Summary!C3, IF(A6&lt;=(Summary!C3+Summary!C4), (Tranche_Detail!D6)/Summary!C4, (Tranche_Detail!E6)/Summary!C5))</f>
        <v/>
      </c>
      <c r="G6" s="6">
        <f>IF(A6&lt;=Summary!C3, (Tranche_Detail!C10)/Summary!C3, IF(A6&lt;=(Summary!C3+Summary!C4), (Tranche_Detail!D10)/Summary!C4, (Tranche_Detail!E10)/Summary!C5))</f>
        <v/>
      </c>
      <c r="H6" s="6">
        <f>IF(A6&lt;=Summary!C3, (Tranche_Detail!C12)/Summary!C3, IF(A6&lt;=(Summary!C3+Summary!C4), (Tranche_Detail!D12)/Summary!C4, (Tranche_Detail!E12)/Summary!C5))</f>
        <v/>
      </c>
      <c r="I6" s="6">
        <f>IF(A6&lt;=Summary!C3, (Tranche_Detail!C14)/Summary!C3, IF(A6&lt;=(Summary!C3+Summary!C4), (Tranche_Detail!D14)/Summary!C4, (Tranche_Detail!E14)/Summary!C5))</f>
        <v/>
      </c>
      <c r="J6" s="6">
        <f>IF(A6&lt;=Summary!C3, (Tranche_Detail!C17)/Summary!C3, IF(A6&lt;=(Summary!C3+Summary!C4), (Tranche_Detail!D17)/Summary!C4, (Tranche_Detail!E17)/Summary!C5))</f>
        <v/>
      </c>
      <c r="K6" s="6">
        <f>SUM(F6:J6)</f>
        <v/>
      </c>
      <c r="L6" s="6">
        <f>K6-D6</f>
        <v/>
      </c>
      <c r="M6" s="6">
        <f>B6+E6-K6</f>
        <v/>
      </c>
      <c r="N6" s="9">
        <f>IF(L6&gt;0, M6/L6, 999)</f>
        <v/>
      </c>
    </row>
    <row r="7">
      <c r="A7" t="n">
        <v>5</v>
      </c>
      <c r="B7" s="6">
        <f>M6</f>
        <v/>
      </c>
      <c r="C7" s="6" t="n">
        <v>0</v>
      </c>
      <c r="D7" s="6">
        <f>IF(A7&lt;=12, (County_League_Model!B21/12)*(A7/12), IF(A7&lt;=24, (County_League_Model!C21/12), (County_League_Model!D21/12)))</f>
        <v/>
      </c>
      <c r="E7" s="6">
        <f>C7+D7</f>
        <v/>
      </c>
      <c r="F7" s="6">
        <f>IF(A7&lt;=Summary!C3, (Tranche_Detail!C6)/Summary!C3, IF(A7&lt;=(Summary!C3+Summary!C4), (Tranche_Detail!D6)/Summary!C4, (Tranche_Detail!E6)/Summary!C5))</f>
        <v/>
      </c>
      <c r="G7" s="6">
        <f>IF(A7&lt;=Summary!C3, (Tranche_Detail!C10)/Summary!C3, IF(A7&lt;=(Summary!C3+Summary!C4), (Tranche_Detail!D10)/Summary!C4, (Tranche_Detail!E10)/Summary!C5))</f>
        <v/>
      </c>
      <c r="H7" s="6">
        <f>IF(A7&lt;=Summary!C3, (Tranche_Detail!C12)/Summary!C3, IF(A7&lt;=(Summary!C3+Summary!C4), (Tranche_Detail!D12)/Summary!C4, (Tranche_Detail!E12)/Summary!C5))</f>
        <v/>
      </c>
      <c r="I7" s="6">
        <f>IF(A7&lt;=Summary!C3, (Tranche_Detail!C14)/Summary!C3, IF(A7&lt;=(Summary!C3+Summary!C4), (Tranche_Detail!D14)/Summary!C4, (Tranche_Detail!E14)/Summary!C5))</f>
        <v/>
      </c>
      <c r="J7" s="6">
        <f>IF(A7&lt;=Summary!C3, (Tranche_Detail!C17)/Summary!C3, IF(A7&lt;=(Summary!C3+Summary!C4), (Tranche_Detail!D17)/Summary!C4, (Tranche_Detail!E17)/Summary!C5))</f>
        <v/>
      </c>
      <c r="K7" s="6">
        <f>SUM(F7:J7)</f>
        <v/>
      </c>
      <c r="L7" s="6">
        <f>K7-D7</f>
        <v/>
      </c>
      <c r="M7" s="6">
        <f>B7+E7-K7</f>
        <v/>
      </c>
      <c r="N7" s="9">
        <f>IF(L7&gt;0, M7/L7, 999)</f>
        <v/>
      </c>
      <c r="O7" t="inlineStr">
        <is>
          <t>Tranche A Monthly Payroll</t>
        </is>
      </c>
      <c r="P7">
        <f>(Tranche_Detail!C6) / Summary!C3</f>
        <v/>
      </c>
    </row>
    <row r="8">
      <c r="A8" t="n">
        <v>6</v>
      </c>
      <c r="B8" s="6">
        <f>M7</f>
        <v/>
      </c>
      <c r="C8" s="6" t="n">
        <v>0</v>
      </c>
      <c r="D8" s="6">
        <f>IF(A8&lt;=12, (County_League_Model!B21/12)*(A8/12), IF(A8&lt;=24, (County_League_Model!C21/12), (County_League_Model!D21/12)))</f>
        <v/>
      </c>
      <c r="E8" s="6">
        <f>C8+D8</f>
        <v/>
      </c>
      <c r="F8" s="6">
        <f>IF(A8&lt;=Summary!C3, (Tranche_Detail!C6)/Summary!C3, IF(A8&lt;=(Summary!C3+Summary!C4), (Tranche_Detail!D6)/Summary!C4, (Tranche_Detail!E6)/Summary!C5))</f>
        <v/>
      </c>
      <c r="G8" s="6">
        <f>IF(A8&lt;=Summary!C3, (Tranche_Detail!C10)/Summary!C3, IF(A8&lt;=(Summary!C3+Summary!C4), (Tranche_Detail!D10)/Summary!C4, (Tranche_Detail!E10)/Summary!C5))</f>
        <v/>
      </c>
      <c r="H8" s="6">
        <f>IF(A8&lt;=Summary!C3, (Tranche_Detail!C12)/Summary!C3, IF(A8&lt;=(Summary!C3+Summary!C4), (Tranche_Detail!D12)/Summary!C4, (Tranche_Detail!E12)/Summary!C5))</f>
        <v/>
      </c>
      <c r="I8" s="6">
        <f>IF(A8&lt;=Summary!C3, (Tranche_Detail!C14)/Summary!C3, IF(A8&lt;=(Summary!C3+Summary!C4), (Tranche_Detail!D14)/Summary!C4, (Tranche_Detail!E14)/Summary!C5))</f>
        <v/>
      </c>
      <c r="J8" s="6">
        <f>IF(A8&lt;=Summary!C3, (Tranche_Detail!C17)/Summary!C3, IF(A8&lt;=(Summary!C3+Summary!C4), (Tranche_Detail!D17)/Summary!C4, (Tranche_Detail!E17)/Summary!C5))</f>
        <v/>
      </c>
      <c r="K8" s="6">
        <f>SUM(F8:J8)</f>
        <v/>
      </c>
      <c r="L8" s="6">
        <f>K8-D8</f>
        <v/>
      </c>
      <c r="M8" s="6">
        <f>B8+E8-K8</f>
        <v/>
      </c>
      <c r="N8" s="9">
        <f>IF(L8&gt;0, M8/L8, 999)</f>
        <v/>
      </c>
      <c r="O8" t="inlineStr">
        <is>
          <t>Tranche A Monthly S&amp;M</t>
        </is>
      </c>
      <c r="P8">
        <f>(Tranche_Detail!C10) / Summary!C3</f>
        <v/>
      </c>
    </row>
    <row r="9">
      <c r="A9" t="n">
        <v>7</v>
      </c>
      <c r="B9" s="6">
        <f>M8</f>
        <v/>
      </c>
      <c r="C9" s="6" t="n">
        <v>0</v>
      </c>
      <c r="D9" s="6">
        <f>IF(A9&lt;=12, (County_League_Model!B21/12)*(A9/12), IF(A9&lt;=24, (County_League_Model!C21/12), (County_League_Model!D21/12)))</f>
        <v/>
      </c>
      <c r="E9" s="6">
        <f>C9+D9</f>
        <v/>
      </c>
      <c r="F9" s="6">
        <f>IF(A9&lt;=Summary!C3, (Tranche_Detail!C6)/Summary!C3, IF(A9&lt;=(Summary!C3+Summary!C4), (Tranche_Detail!D6)/Summary!C4, (Tranche_Detail!E6)/Summary!C5))</f>
        <v/>
      </c>
      <c r="G9" s="6">
        <f>IF(A9&lt;=Summary!C3, (Tranche_Detail!C10)/Summary!C3, IF(A9&lt;=(Summary!C3+Summary!C4), (Tranche_Detail!D10)/Summary!C4, (Tranche_Detail!E10)/Summary!C5))</f>
        <v/>
      </c>
      <c r="H9" s="6">
        <f>IF(A9&lt;=Summary!C3, (Tranche_Detail!C12)/Summary!C3, IF(A9&lt;=(Summary!C3+Summary!C4), (Tranche_Detail!D12)/Summary!C4, (Tranche_Detail!E12)/Summary!C5))</f>
        <v/>
      </c>
      <c r="I9" s="6">
        <f>IF(A9&lt;=Summary!C3, (Tranche_Detail!C14)/Summary!C3, IF(A9&lt;=(Summary!C3+Summary!C4), (Tranche_Detail!D14)/Summary!C4, (Tranche_Detail!E14)/Summary!C5))</f>
        <v/>
      </c>
      <c r="J9" s="6">
        <f>IF(A9&lt;=Summary!C3, (Tranche_Detail!C17)/Summary!C3, IF(A9&lt;=(Summary!C3+Summary!C4), (Tranche_Detail!D17)/Summary!C4, (Tranche_Detail!E17)/Summary!C5))</f>
        <v/>
      </c>
      <c r="K9" s="6">
        <f>SUM(F9:J9)</f>
        <v/>
      </c>
      <c r="L9" s="6">
        <f>K9-D9</f>
        <v/>
      </c>
      <c r="M9" s="6">
        <f>B9+E9-K9</f>
        <v/>
      </c>
      <c r="N9" s="9">
        <f>IF(L9&gt;0, M9/L9, 999)</f>
        <v/>
      </c>
    </row>
    <row r="10">
      <c r="A10" t="n">
        <v>8</v>
      </c>
      <c r="B10" s="6">
        <f>M9</f>
        <v/>
      </c>
      <c r="C10" s="6" t="n">
        <v>0</v>
      </c>
      <c r="D10" s="6">
        <f>IF(A10&lt;=12, (County_League_Model!B21/12)*(A10/12), IF(A10&lt;=24, (County_League_Model!C21/12), (County_League_Model!D21/12)))</f>
        <v/>
      </c>
      <c r="E10" s="6">
        <f>C10+D10</f>
        <v/>
      </c>
      <c r="F10" s="6">
        <f>IF(A10&lt;=Summary!C3, (Tranche_Detail!C6)/Summary!C3, IF(A10&lt;=(Summary!C3+Summary!C4), (Tranche_Detail!D6)/Summary!C4, (Tranche_Detail!E6)/Summary!C5))</f>
        <v/>
      </c>
      <c r="G10" s="6">
        <f>IF(A10&lt;=Summary!C3, (Tranche_Detail!C10)/Summary!C3, IF(A10&lt;=(Summary!C3+Summary!C4), (Tranche_Detail!D10)/Summary!C4, (Tranche_Detail!E10)/Summary!C5))</f>
        <v/>
      </c>
      <c r="H10" s="6">
        <f>IF(A10&lt;=Summary!C3, (Tranche_Detail!C12)/Summary!C3, IF(A10&lt;=(Summary!C3+Summary!C4), (Tranche_Detail!D12)/Summary!C4, (Tranche_Detail!E12)/Summary!C5))</f>
        <v/>
      </c>
      <c r="I10" s="6">
        <f>IF(A10&lt;=Summary!C3, (Tranche_Detail!C14)/Summary!C3, IF(A10&lt;=(Summary!C3+Summary!C4), (Tranche_Detail!D14)/Summary!C4, (Tranche_Detail!E14)/Summary!C5))</f>
        <v/>
      </c>
      <c r="J10" s="6">
        <f>IF(A10&lt;=Summary!C3, (Tranche_Detail!C17)/Summary!C3, IF(A10&lt;=(Summary!C3+Summary!C4), (Tranche_Detail!D17)/Summary!C4, (Tranche_Detail!E17)/Summary!C5))</f>
        <v/>
      </c>
      <c r="K10" s="6">
        <f>SUM(F10:J10)</f>
        <v/>
      </c>
      <c r="L10" s="6">
        <f>K10-D10</f>
        <v/>
      </c>
      <c r="M10" s="6">
        <f>B10+E10-K10</f>
        <v/>
      </c>
      <c r="N10" s="9">
        <f>IF(L10&gt;0, M10/L10, 999)</f>
        <v/>
      </c>
    </row>
    <row r="11">
      <c r="A11" t="n">
        <v>9</v>
      </c>
      <c r="B11" s="6">
        <f>M10</f>
        <v/>
      </c>
      <c r="C11" s="6" t="n">
        <v>0</v>
      </c>
      <c r="D11" s="6">
        <f>IF(A11&lt;=12, (County_League_Model!B21/12)*(A11/12), IF(A11&lt;=24, (County_League_Model!C21/12), (County_League_Model!D21/12)))</f>
        <v/>
      </c>
      <c r="E11" s="6">
        <f>C11+D11</f>
        <v/>
      </c>
      <c r="F11" s="6">
        <f>IF(A11&lt;=Summary!C3, (Tranche_Detail!C6)/Summary!C3, IF(A11&lt;=(Summary!C3+Summary!C4), (Tranche_Detail!D6)/Summary!C4, (Tranche_Detail!E6)/Summary!C5))</f>
        <v/>
      </c>
      <c r="G11" s="6">
        <f>IF(A11&lt;=Summary!C3, (Tranche_Detail!C10)/Summary!C3, IF(A11&lt;=(Summary!C3+Summary!C4), (Tranche_Detail!D10)/Summary!C4, (Tranche_Detail!E10)/Summary!C5))</f>
        <v/>
      </c>
      <c r="H11" s="6">
        <f>IF(A11&lt;=Summary!C3, (Tranche_Detail!C12)/Summary!C3, IF(A11&lt;=(Summary!C3+Summary!C4), (Tranche_Detail!D12)/Summary!C4, (Tranche_Detail!E12)/Summary!C5))</f>
        <v/>
      </c>
      <c r="I11" s="6">
        <f>IF(A11&lt;=Summary!C3, (Tranche_Detail!C14)/Summary!C3, IF(A11&lt;=(Summary!C3+Summary!C4), (Tranche_Detail!D14)/Summary!C4, (Tranche_Detail!E14)/Summary!C5))</f>
        <v/>
      </c>
      <c r="J11" s="6">
        <f>IF(A11&lt;=Summary!C3, (Tranche_Detail!C17)/Summary!C3, IF(A11&lt;=(Summary!C3+Summary!C4), (Tranche_Detail!D17)/Summary!C4, (Tranche_Detail!E17)/Summary!C5))</f>
        <v/>
      </c>
      <c r="K11" s="6">
        <f>SUM(F11:J11)</f>
        <v/>
      </c>
      <c r="L11" s="6">
        <f>K11-D11</f>
        <v/>
      </c>
      <c r="M11" s="6">
        <f>B11+E11-K11</f>
        <v/>
      </c>
      <c r="N11" s="9">
        <f>IF(L11&gt;0, M11/L11, 999)</f>
        <v/>
      </c>
    </row>
    <row r="12">
      <c r="A12" t="n">
        <v>10</v>
      </c>
      <c r="B12" s="6">
        <f>M11</f>
        <v/>
      </c>
      <c r="C12" s="6">
        <f>Assumptions!C31</f>
        <v/>
      </c>
      <c r="D12" s="6">
        <f>IF(A12&lt;=12, (County_League_Model!B21/12)*(A12/12), IF(A12&lt;=24, (County_League_Model!C21/12), (County_League_Model!D21/12)))</f>
        <v/>
      </c>
      <c r="E12" s="6">
        <f>C12+D12</f>
        <v/>
      </c>
      <c r="F12" s="6">
        <f>IF(A12&lt;=Summary!C3, (Tranche_Detail!C6)/Summary!C3, IF(A12&lt;=(Summary!C3+Summary!C4), (Tranche_Detail!D6)/Summary!C4, (Tranche_Detail!E6)/Summary!C5))</f>
        <v/>
      </c>
      <c r="G12" s="6">
        <f>IF(A12&lt;=Summary!C3, (Tranche_Detail!C10)/Summary!C3, IF(A12&lt;=(Summary!C3+Summary!C4), (Tranche_Detail!D10)/Summary!C4, (Tranche_Detail!E10)/Summary!C5))</f>
        <v/>
      </c>
      <c r="H12" s="6">
        <f>IF(A12&lt;=Summary!C3, (Tranche_Detail!C12)/Summary!C3, IF(A12&lt;=(Summary!C3+Summary!C4), (Tranche_Detail!D12)/Summary!C4, (Tranche_Detail!E12)/Summary!C5))</f>
        <v/>
      </c>
      <c r="I12" s="6">
        <f>IF(A12&lt;=Summary!C3, (Tranche_Detail!C14)/Summary!C3, IF(A12&lt;=(Summary!C3+Summary!C4), (Tranche_Detail!D14)/Summary!C4, (Tranche_Detail!E14)/Summary!C5))</f>
        <v/>
      </c>
      <c r="J12" s="6">
        <f>IF(A12&lt;=Summary!C3, (Tranche_Detail!C17)/Summary!C3, IF(A12&lt;=(Summary!C3+Summary!C4), (Tranche_Detail!D17)/Summary!C4, (Tranche_Detail!E17)/Summary!C5))</f>
        <v/>
      </c>
      <c r="K12" s="6">
        <f>SUM(F12:J12)</f>
        <v/>
      </c>
      <c r="L12" s="6">
        <f>K12-D12</f>
        <v/>
      </c>
      <c r="M12" s="6">
        <f>B12+E12-K12</f>
        <v/>
      </c>
      <c r="N12" s="9">
        <f>IF(L12&gt;0, M12/L12, 999)</f>
        <v/>
      </c>
    </row>
    <row r="13">
      <c r="A13" t="n">
        <v>11</v>
      </c>
      <c r="B13" s="6">
        <f>M12</f>
        <v/>
      </c>
      <c r="C13" s="6" t="n">
        <v>0</v>
      </c>
      <c r="D13" s="6">
        <f>IF(A13&lt;=12, (County_League_Model!B21/12)*(A13/12), IF(A13&lt;=24, (County_League_Model!C21/12), (County_League_Model!D21/12)))</f>
        <v/>
      </c>
      <c r="E13" s="6">
        <f>C13+D13</f>
        <v/>
      </c>
      <c r="F13" s="6">
        <f>IF(A13&lt;=Summary!C3, (Tranche_Detail!C6)/Summary!C3, IF(A13&lt;=(Summary!C3+Summary!C4), (Tranche_Detail!D6)/Summary!C4, (Tranche_Detail!E6)/Summary!C5))</f>
        <v/>
      </c>
      <c r="G13" s="6">
        <f>IF(A13&lt;=Summary!C3, (Tranche_Detail!C10)/Summary!C3, IF(A13&lt;=(Summary!C3+Summary!C4), (Tranche_Detail!D10)/Summary!C4, (Tranche_Detail!E10)/Summary!C5))</f>
        <v/>
      </c>
      <c r="H13" s="6">
        <f>IF(A13&lt;=Summary!C3, (Tranche_Detail!C12)/Summary!C3, IF(A13&lt;=(Summary!C3+Summary!C4), (Tranche_Detail!D12)/Summary!C4, (Tranche_Detail!E12)/Summary!C5))</f>
        <v/>
      </c>
      <c r="I13" s="6">
        <f>IF(A13&lt;=Summary!C3, (Tranche_Detail!C14)/Summary!C3, IF(A13&lt;=(Summary!C3+Summary!C4), (Tranche_Detail!D14)/Summary!C4, (Tranche_Detail!E14)/Summary!C5))</f>
        <v/>
      </c>
      <c r="J13" s="6">
        <f>IF(A13&lt;=Summary!C3, (Tranche_Detail!C17)/Summary!C3, IF(A13&lt;=(Summary!C3+Summary!C4), (Tranche_Detail!D17)/Summary!C4, (Tranche_Detail!E17)/Summary!C5))</f>
        <v/>
      </c>
      <c r="K13" s="6">
        <f>SUM(F13:J13)</f>
        <v/>
      </c>
      <c r="L13" s="6">
        <f>K13-D13</f>
        <v/>
      </c>
      <c r="M13" s="6">
        <f>B13+E13-K13</f>
        <v/>
      </c>
      <c r="N13" s="9">
        <f>IF(L13&gt;0, M13/L13, 999)</f>
        <v/>
      </c>
    </row>
    <row r="14">
      <c r="A14" t="n">
        <v>12</v>
      </c>
      <c r="B14" s="6">
        <f>M13</f>
        <v/>
      </c>
      <c r="C14" s="6" t="n">
        <v>0</v>
      </c>
      <c r="D14" s="6">
        <f>IF(A14&lt;=12, (County_League_Model!B21/12)*(A14/12), IF(A14&lt;=24, (County_League_Model!C21/12), (County_League_Model!D21/12)))</f>
        <v/>
      </c>
      <c r="E14" s="6">
        <f>C14+D14</f>
        <v/>
      </c>
      <c r="F14" s="6">
        <f>IF(A14&lt;=Summary!C3, (Tranche_Detail!C6)/Summary!C3, IF(A14&lt;=(Summary!C3+Summary!C4), (Tranche_Detail!D6)/Summary!C4, (Tranche_Detail!E6)/Summary!C5))</f>
        <v/>
      </c>
      <c r="G14" s="6">
        <f>IF(A14&lt;=Summary!C3, (Tranche_Detail!C10)/Summary!C3, IF(A14&lt;=(Summary!C3+Summary!C4), (Tranche_Detail!D10)/Summary!C4, (Tranche_Detail!E10)/Summary!C5))</f>
        <v/>
      </c>
      <c r="H14" s="6">
        <f>IF(A14&lt;=Summary!C3, (Tranche_Detail!C12)/Summary!C3, IF(A14&lt;=(Summary!C3+Summary!C4), (Tranche_Detail!D12)/Summary!C4, (Tranche_Detail!E12)/Summary!C5))</f>
        <v/>
      </c>
      <c r="I14" s="6">
        <f>IF(A14&lt;=Summary!C3, (Tranche_Detail!C14)/Summary!C3, IF(A14&lt;=(Summary!C3+Summary!C4), (Tranche_Detail!D14)/Summary!C4, (Tranche_Detail!E14)/Summary!C5))</f>
        <v/>
      </c>
      <c r="J14" s="6">
        <f>IF(A14&lt;=Summary!C3, (Tranche_Detail!C17)/Summary!C3, IF(A14&lt;=(Summary!C3+Summary!C4), (Tranche_Detail!D17)/Summary!C4, (Tranche_Detail!E17)/Summary!C5))</f>
        <v/>
      </c>
      <c r="K14" s="6">
        <f>SUM(F14:J14)</f>
        <v/>
      </c>
      <c r="L14" s="6">
        <f>K14-D14</f>
        <v/>
      </c>
      <c r="M14" s="6">
        <f>B14+E14-K14</f>
        <v/>
      </c>
      <c r="N14" s="9">
        <f>IF(L14&gt;0, M14/L14, 999)</f>
        <v/>
      </c>
    </row>
    <row r="15">
      <c r="A15" t="n">
        <v>13</v>
      </c>
      <c r="B15" s="6">
        <f>M14</f>
        <v/>
      </c>
      <c r="C15" s="6" t="n">
        <v>0</v>
      </c>
      <c r="D15" s="6">
        <f>IF(A15&lt;=12, (County_League_Model!B21/12)*(A15/12), IF(A15&lt;=24, (County_League_Model!C21/12), (County_League_Model!D21/12)))</f>
        <v/>
      </c>
      <c r="E15" s="6">
        <f>C15+D15</f>
        <v/>
      </c>
      <c r="F15" s="6">
        <f>IF(A15&lt;=Summary!C3, (Tranche_Detail!C6)/Summary!C3, IF(A15&lt;=(Summary!C3+Summary!C4), (Tranche_Detail!D6)/Summary!C4, (Tranche_Detail!E6)/Summary!C5))</f>
        <v/>
      </c>
      <c r="G15" s="6">
        <f>IF(A15&lt;=Summary!C3, (Tranche_Detail!C10)/Summary!C3, IF(A15&lt;=(Summary!C3+Summary!C4), (Tranche_Detail!D10)/Summary!C4, (Tranche_Detail!E10)/Summary!C5))</f>
        <v/>
      </c>
      <c r="H15" s="6">
        <f>IF(A15&lt;=Summary!C3, (Tranche_Detail!C12)/Summary!C3, IF(A15&lt;=(Summary!C3+Summary!C4), (Tranche_Detail!D12)/Summary!C4, (Tranche_Detail!E12)/Summary!C5))</f>
        <v/>
      </c>
      <c r="I15" s="6">
        <f>IF(A15&lt;=Summary!C3, (Tranche_Detail!C14)/Summary!C3, IF(A15&lt;=(Summary!C3+Summary!C4), (Tranche_Detail!D14)/Summary!C4, (Tranche_Detail!E14)/Summary!C5))</f>
        <v/>
      </c>
      <c r="J15" s="6">
        <f>IF(A15&lt;=Summary!C3, (Tranche_Detail!C17)/Summary!C3, IF(A15&lt;=(Summary!C3+Summary!C4), (Tranche_Detail!D17)/Summary!C4, (Tranche_Detail!E17)/Summary!C5))</f>
        <v/>
      </c>
      <c r="K15" s="6">
        <f>SUM(F15:J15)</f>
        <v/>
      </c>
      <c r="L15" s="6">
        <f>K15-D15</f>
        <v/>
      </c>
      <c r="M15" s="6">
        <f>B15+E15-K15</f>
        <v/>
      </c>
      <c r="N15" s="9">
        <f>IF(L15&gt;0, M15/L15, 999)</f>
        <v/>
      </c>
    </row>
    <row r="16">
      <c r="A16" t="n">
        <v>14</v>
      </c>
      <c r="B16" s="6">
        <f>M15</f>
        <v/>
      </c>
      <c r="C16" s="6" t="n">
        <v>0</v>
      </c>
      <c r="D16" s="6">
        <f>IF(A16&lt;=12, (County_League_Model!B21/12)*(A16/12), IF(A16&lt;=24, (County_League_Model!C21/12), (County_League_Model!D21/12)))</f>
        <v/>
      </c>
      <c r="E16" s="6">
        <f>C16+D16</f>
        <v/>
      </c>
      <c r="F16" s="6">
        <f>IF(A16&lt;=Summary!C3, (Tranche_Detail!C6)/Summary!C3, IF(A16&lt;=(Summary!C3+Summary!C4), (Tranche_Detail!D6)/Summary!C4, (Tranche_Detail!E6)/Summary!C5))</f>
        <v/>
      </c>
      <c r="G16" s="6">
        <f>IF(A16&lt;=Summary!C3, (Tranche_Detail!C10)/Summary!C3, IF(A16&lt;=(Summary!C3+Summary!C4), (Tranche_Detail!D10)/Summary!C4, (Tranche_Detail!E10)/Summary!C5))</f>
        <v/>
      </c>
      <c r="H16" s="6">
        <f>IF(A16&lt;=Summary!C3, (Tranche_Detail!C12)/Summary!C3, IF(A16&lt;=(Summary!C3+Summary!C4), (Tranche_Detail!D12)/Summary!C4, (Tranche_Detail!E12)/Summary!C5))</f>
        <v/>
      </c>
      <c r="I16" s="6">
        <f>IF(A16&lt;=Summary!C3, (Tranche_Detail!C14)/Summary!C3, IF(A16&lt;=(Summary!C3+Summary!C4), (Tranche_Detail!D14)/Summary!C4, (Tranche_Detail!E14)/Summary!C5))</f>
        <v/>
      </c>
      <c r="J16" s="6">
        <f>IF(A16&lt;=Summary!C3, (Tranche_Detail!C17)/Summary!C3, IF(A16&lt;=(Summary!C3+Summary!C4), (Tranche_Detail!D17)/Summary!C4, (Tranche_Detail!E17)/Summary!C5))</f>
        <v/>
      </c>
      <c r="K16" s="6">
        <f>SUM(F16:J16)</f>
        <v/>
      </c>
      <c r="L16" s="6">
        <f>K16-D16</f>
        <v/>
      </c>
      <c r="M16" s="6">
        <f>B16+E16-K16</f>
        <v/>
      </c>
      <c r="N16" s="9">
        <f>IF(L16&gt;0, M16/L16, 999)</f>
        <v/>
      </c>
    </row>
    <row r="17">
      <c r="A17" t="n">
        <v>15</v>
      </c>
      <c r="B17" s="6">
        <f>M16</f>
        <v/>
      </c>
      <c r="C17" s="6" t="n">
        <v>0</v>
      </c>
      <c r="D17" s="6">
        <f>IF(A17&lt;=12, (County_League_Model!B21/12)*(A17/12), IF(A17&lt;=24, (County_League_Model!C21/12), (County_League_Model!D21/12)))</f>
        <v/>
      </c>
      <c r="E17" s="6">
        <f>C17+D17</f>
        <v/>
      </c>
      <c r="F17" s="6">
        <f>IF(A17&lt;=Summary!C3, (Tranche_Detail!C6)/Summary!C3, IF(A17&lt;=(Summary!C3+Summary!C4), (Tranche_Detail!D6)/Summary!C4, (Tranche_Detail!E6)/Summary!C5))</f>
        <v/>
      </c>
      <c r="G17" s="6">
        <f>IF(A17&lt;=Summary!C3, (Tranche_Detail!C10)/Summary!C3, IF(A17&lt;=(Summary!C3+Summary!C4), (Tranche_Detail!D10)/Summary!C4, (Tranche_Detail!E10)/Summary!C5))</f>
        <v/>
      </c>
      <c r="H17" s="6">
        <f>IF(A17&lt;=Summary!C3, (Tranche_Detail!C12)/Summary!C3, IF(A17&lt;=(Summary!C3+Summary!C4), (Tranche_Detail!D12)/Summary!C4, (Tranche_Detail!E12)/Summary!C5))</f>
        <v/>
      </c>
      <c r="I17" s="6">
        <f>IF(A17&lt;=Summary!C3, (Tranche_Detail!C14)/Summary!C3, IF(A17&lt;=(Summary!C3+Summary!C4), (Tranche_Detail!D14)/Summary!C4, (Tranche_Detail!E14)/Summary!C5))</f>
        <v/>
      </c>
      <c r="J17" s="6">
        <f>IF(A17&lt;=Summary!C3, (Tranche_Detail!C17)/Summary!C3, IF(A17&lt;=(Summary!C3+Summary!C4), (Tranche_Detail!D17)/Summary!C4, (Tranche_Detail!E17)/Summary!C5))</f>
        <v/>
      </c>
      <c r="K17" s="6">
        <f>SUM(F17:J17)</f>
        <v/>
      </c>
      <c r="L17" s="6">
        <f>K17-D17</f>
        <v/>
      </c>
      <c r="M17" s="6">
        <f>B17+E17-K17</f>
        <v/>
      </c>
      <c r="N17" s="9">
        <f>IF(L17&gt;0, M17/L17, 999)</f>
        <v/>
      </c>
    </row>
    <row r="18">
      <c r="A18" t="n">
        <v>16</v>
      </c>
      <c r="B18" s="6">
        <f>M17</f>
        <v/>
      </c>
      <c r="C18" s="6" t="n">
        <v>0</v>
      </c>
      <c r="D18" s="6">
        <f>IF(A18&lt;=12, (County_League_Model!B21/12)*(A18/12), IF(A18&lt;=24, (County_League_Model!C21/12), (County_League_Model!D21/12)))</f>
        <v/>
      </c>
      <c r="E18" s="6">
        <f>C18+D18</f>
        <v/>
      </c>
      <c r="F18" s="6">
        <f>IF(A18&lt;=Summary!C3, (Tranche_Detail!C6)/Summary!C3, IF(A18&lt;=(Summary!C3+Summary!C4), (Tranche_Detail!D6)/Summary!C4, (Tranche_Detail!E6)/Summary!C5))</f>
        <v/>
      </c>
      <c r="G18" s="6">
        <f>IF(A18&lt;=Summary!C3, (Tranche_Detail!C10)/Summary!C3, IF(A18&lt;=(Summary!C3+Summary!C4), (Tranche_Detail!D10)/Summary!C4, (Tranche_Detail!E10)/Summary!C5))</f>
        <v/>
      </c>
      <c r="H18" s="6">
        <f>IF(A18&lt;=Summary!C3, (Tranche_Detail!C12)/Summary!C3, IF(A18&lt;=(Summary!C3+Summary!C4), (Tranche_Detail!D12)/Summary!C4, (Tranche_Detail!E12)/Summary!C5))</f>
        <v/>
      </c>
      <c r="I18" s="6">
        <f>IF(A18&lt;=Summary!C3, (Tranche_Detail!C14)/Summary!C3, IF(A18&lt;=(Summary!C3+Summary!C4), (Tranche_Detail!D14)/Summary!C4, (Tranche_Detail!E14)/Summary!C5))</f>
        <v/>
      </c>
      <c r="J18" s="6">
        <f>IF(A18&lt;=Summary!C3, (Tranche_Detail!C17)/Summary!C3, IF(A18&lt;=(Summary!C3+Summary!C4), (Tranche_Detail!D17)/Summary!C4, (Tranche_Detail!E17)/Summary!C5))</f>
        <v/>
      </c>
      <c r="K18" s="6">
        <f>SUM(F18:J18)</f>
        <v/>
      </c>
      <c r="L18" s="6">
        <f>K18-D18</f>
        <v/>
      </c>
      <c r="M18" s="6">
        <f>B18+E18-K18</f>
        <v/>
      </c>
      <c r="N18" s="9">
        <f>IF(L18&gt;0, M18/L18, 999)</f>
        <v/>
      </c>
    </row>
    <row r="19">
      <c r="A19" t="n">
        <v>17</v>
      </c>
      <c r="B19" s="6">
        <f>M18</f>
        <v/>
      </c>
      <c r="C19" s="6" t="n">
        <v>0</v>
      </c>
      <c r="D19" s="6">
        <f>IF(A19&lt;=12, (County_League_Model!B21/12)*(A19/12), IF(A19&lt;=24, (County_League_Model!C21/12), (County_League_Model!D21/12)))</f>
        <v/>
      </c>
      <c r="E19" s="6">
        <f>C19+D19</f>
        <v/>
      </c>
      <c r="F19" s="6">
        <f>IF(A19&lt;=Summary!C3, (Tranche_Detail!C6)/Summary!C3, IF(A19&lt;=(Summary!C3+Summary!C4), (Tranche_Detail!D6)/Summary!C4, (Tranche_Detail!E6)/Summary!C5))</f>
        <v/>
      </c>
      <c r="G19" s="6">
        <f>IF(A19&lt;=Summary!C3, (Tranche_Detail!C10)/Summary!C3, IF(A19&lt;=(Summary!C3+Summary!C4), (Tranche_Detail!D10)/Summary!C4, (Tranche_Detail!E10)/Summary!C5))</f>
        <v/>
      </c>
      <c r="H19" s="6">
        <f>IF(A19&lt;=Summary!C3, (Tranche_Detail!C12)/Summary!C3, IF(A19&lt;=(Summary!C3+Summary!C4), (Tranche_Detail!D12)/Summary!C4, (Tranche_Detail!E12)/Summary!C5))</f>
        <v/>
      </c>
      <c r="I19" s="6">
        <f>IF(A19&lt;=Summary!C3, (Tranche_Detail!C14)/Summary!C3, IF(A19&lt;=(Summary!C3+Summary!C4), (Tranche_Detail!D14)/Summary!C4, (Tranche_Detail!E14)/Summary!C5))</f>
        <v/>
      </c>
      <c r="J19" s="6">
        <f>IF(A19&lt;=Summary!C3, (Tranche_Detail!C17)/Summary!C3, IF(A19&lt;=(Summary!C3+Summary!C4), (Tranche_Detail!D17)/Summary!C4, (Tranche_Detail!E17)/Summary!C5))</f>
        <v/>
      </c>
      <c r="K19" s="6">
        <f>SUM(F19:J19)</f>
        <v/>
      </c>
      <c r="L19" s="6">
        <f>K19-D19</f>
        <v/>
      </c>
      <c r="M19" s="6">
        <f>B19+E19-K19</f>
        <v/>
      </c>
      <c r="N19" s="9">
        <f>IF(L19&gt;0, M19/L19, 999)</f>
        <v/>
      </c>
    </row>
    <row r="20">
      <c r="A20" t="n">
        <v>18</v>
      </c>
      <c r="B20" s="6">
        <f>M19</f>
        <v/>
      </c>
      <c r="C20" s="6" t="n">
        <v>0</v>
      </c>
      <c r="D20" s="6">
        <f>IF(A20&lt;=12, (County_League_Model!B21/12)*(A20/12), IF(A20&lt;=24, (County_League_Model!C21/12), (County_League_Model!D21/12)))</f>
        <v/>
      </c>
      <c r="E20" s="6">
        <f>C20+D20</f>
        <v/>
      </c>
      <c r="F20" s="6">
        <f>IF(A20&lt;=Summary!C3, (Tranche_Detail!C6)/Summary!C3, IF(A20&lt;=(Summary!C3+Summary!C4), (Tranche_Detail!D6)/Summary!C4, (Tranche_Detail!E6)/Summary!C5))</f>
        <v/>
      </c>
      <c r="G20" s="6">
        <f>IF(A20&lt;=Summary!C3, (Tranche_Detail!C10)/Summary!C3, IF(A20&lt;=(Summary!C3+Summary!C4), (Tranche_Detail!D10)/Summary!C4, (Tranche_Detail!E10)/Summary!C5))</f>
        <v/>
      </c>
      <c r="H20" s="6">
        <f>IF(A20&lt;=Summary!C3, (Tranche_Detail!C12)/Summary!C3, IF(A20&lt;=(Summary!C3+Summary!C4), (Tranche_Detail!D12)/Summary!C4, (Tranche_Detail!E12)/Summary!C5))</f>
        <v/>
      </c>
      <c r="I20" s="6">
        <f>IF(A20&lt;=Summary!C3, (Tranche_Detail!C14)/Summary!C3, IF(A20&lt;=(Summary!C3+Summary!C4), (Tranche_Detail!D14)/Summary!C4, (Tranche_Detail!E14)/Summary!C5))</f>
        <v/>
      </c>
      <c r="J20" s="6">
        <f>IF(A20&lt;=Summary!C3, (Tranche_Detail!C17)/Summary!C3, IF(A20&lt;=(Summary!C3+Summary!C4), (Tranche_Detail!D17)/Summary!C4, (Tranche_Detail!E17)/Summary!C5))</f>
        <v/>
      </c>
      <c r="K20" s="6">
        <f>SUM(F20:J20)</f>
        <v/>
      </c>
      <c r="L20" s="6">
        <f>K20-D20</f>
        <v/>
      </c>
      <c r="M20" s="6">
        <f>B20+E20-K20</f>
        <v/>
      </c>
      <c r="N20" s="9">
        <f>IF(L20&gt;0, M20/L20, 999)</f>
        <v/>
      </c>
    </row>
    <row r="21">
      <c r="A21" t="n">
        <v>19</v>
      </c>
      <c r="B21" s="6">
        <f>M20</f>
        <v/>
      </c>
      <c r="C21" s="6" t="n">
        <v>0</v>
      </c>
      <c r="D21" s="6">
        <f>IF(A21&lt;=12, (County_League_Model!B21/12)*(A21/12), IF(A21&lt;=24, (County_League_Model!C21/12), (County_League_Model!D21/12)))</f>
        <v/>
      </c>
      <c r="E21" s="6">
        <f>C21+D21</f>
        <v/>
      </c>
      <c r="F21" s="6">
        <f>IF(A21&lt;=Summary!C3, (Tranche_Detail!C6)/Summary!C3, IF(A21&lt;=(Summary!C3+Summary!C4), (Tranche_Detail!D6)/Summary!C4, (Tranche_Detail!E6)/Summary!C5))</f>
        <v/>
      </c>
      <c r="G21" s="6">
        <f>IF(A21&lt;=Summary!C3, (Tranche_Detail!C10)/Summary!C3, IF(A21&lt;=(Summary!C3+Summary!C4), (Tranche_Detail!D10)/Summary!C4, (Tranche_Detail!E10)/Summary!C5))</f>
        <v/>
      </c>
      <c r="H21" s="6">
        <f>IF(A21&lt;=Summary!C3, (Tranche_Detail!C12)/Summary!C3, IF(A21&lt;=(Summary!C3+Summary!C4), (Tranche_Detail!D12)/Summary!C4, (Tranche_Detail!E12)/Summary!C5))</f>
        <v/>
      </c>
      <c r="I21" s="6">
        <f>IF(A21&lt;=Summary!C3, (Tranche_Detail!C14)/Summary!C3, IF(A21&lt;=(Summary!C3+Summary!C4), (Tranche_Detail!D14)/Summary!C4, (Tranche_Detail!E14)/Summary!C5))</f>
        <v/>
      </c>
      <c r="J21" s="6">
        <f>IF(A21&lt;=Summary!C3, (Tranche_Detail!C17)/Summary!C3, IF(A21&lt;=(Summary!C3+Summary!C4), (Tranche_Detail!D17)/Summary!C4, (Tranche_Detail!E17)/Summary!C5))</f>
        <v/>
      </c>
      <c r="K21" s="6">
        <f>SUM(F21:J21)</f>
        <v/>
      </c>
      <c r="L21" s="6">
        <f>K21-D21</f>
        <v/>
      </c>
      <c r="M21" s="6">
        <f>B21+E21-K21</f>
        <v/>
      </c>
      <c r="N21" s="9">
        <f>IF(L21&gt;0, M21/L21, 999)</f>
        <v/>
      </c>
    </row>
    <row r="22">
      <c r="A22" t="n">
        <v>20</v>
      </c>
      <c r="B22" s="6">
        <f>M21</f>
        <v/>
      </c>
      <c r="C22" s="6" t="n">
        <v>0</v>
      </c>
      <c r="D22" s="6">
        <f>IF(A22&lt;=12, (County_League_Model!B21/12)*(A22/12), IF(A22&lt;=24, (County_League_Model!C21/12), (County_League_Model!D21/12)))</f>
        <v/>
      </c>
      <c r="E22" s="6">
        <f>C22+D22</f>
        <v/>
      </c>
      <c r="F22" s="6">
        <f>IF(A22&lt;=Summary!C3, (Tranche_Detail!C6)/Summary!C3, IF(A22&lt;=(Summary!C3+Summary!C4), (Tranche_Detail!D6)/Summary!C4, (Tranche_Detail!E6)/Summary!C5))</f>
        <v/>
      </c>
      <c r="G22" s="6">
        <f>IF(A22&lt;=Summary!C3, (Tranche_Detail!C10)/Summary!C3, IF(A22&lt;=(Summary!C3+Summary!C4), (Tranche_Detail!D10)/Summary!C4, (Tranche_Detail!E10)/Summary!C5))</f>
        <v/>
      </c>
      <c r="H22" s="6">
        <f>IF(A22&lt;=Summary!C3, (Tranche_Detail!C12)/Summary!C3, IF(A22&lt;=(Summary!C3+Summary!C4), (Tranche_Detail!D12)/Summary!C4, (Tranche_Detail!E12)/Summary!C5))</f>
        <v/>
      </c>
      <c r="I22" s="6">
        <f>IF(A22&lt;=Summary!C3, (Tranche_Detail!C14)/Summary!C3, IF(A22&lt;=(Summary!C3+Summary!C4), (Tranche_Detail!D14)/Summary!C4, (Tranche_Detail!E14)/Summary!C5))</f>
        <v/>
      </c>
      <c r="J22" s="6">
        <f>IF(A22&lt;=Summary!C3, (Tranche_Detail!C17)/Summary!C3, IF(A22&lt;=(Summary!C3+Summary!C4), (Tranche_Detail!D17)/Summary!C4, (Tranche_Detail!E17)/Summary!C5))</f>
        <v/>
      </c>
      <c r="K22" s="6">
        <f>SUM(F22:J22)</f>
        <v/>
      </c>
      <c r="L22" s="6">
        <f>K22-D22</f>
        <v/>
      </c>
      <c r="M22" s="6">
        <f>B22+E22-K22</f>
        <v/>
      </c>
      <c r="N22" s="9">
        <f>IF(L22&gt;0, M22/L22, 999)</f>
        <v/>
      </c>
    </row>
    <row r="23">
      <c r="A23" t="n">
        <v>21</v>
      </c>
      <c r="B23" s="6">
        <f>M22</f>
        <v/>
      </c>
      <c r="C23" s="6" t="n">
        <v>0</v>
      </c>
      <c r="D23" s="6">
        <f>IF(A23&lt;=12, (County_League_Model!B21/12)*(A23/12), IF(A23&lt;=24, (County_League_Model!C21/12), (County_League_Model!D21/12)))</f>
        <v/>
      </c>
      <c r="E23" s="6">
        <f>C23+D23</f>
        <v/>
      </c>
      <c r="F23" s="6">
        <f>IF(A23&lt;=Summary!C3, (Tranche_Detail!C6)/Summary!C3, IF(A23&lt;=(Summary!C3+Summary!C4), (Tranche_Detail!D6)/Summary!C4, (Tranche_Detail!E6)/Summary!C5))</f>
        <v/>
      </c>
      <c r="G23" s="6">
        <f>IF(A23&lt;=Summary!C3, (Tranche_Detail!C10)/Summary!C3, IF(A23&lt;=(Summary!C3+Summary!C4), (Tranche_Detail!D10)/Summary!C4, (Tranche_Detail!E10)/Summary!C5))</f>
        <v/>
      </c>
      <c r="H23" s="6">
        <f>IF(A23&lt;=Summary!C3, (Tranche_Detail!C12)/Summary!C3, IF(A23&lt;=(Summary!C3+Summary!C4), (Tranche_Detail!D12)/Summary!C4, (Tranche_Detail!E12)/Summary!C5))</f>
        <v/>
      </c>
      <c r="I23" s="6">
        <f>IF(A23&lt;=Summary!C3, (Tranche_Detail!C14)/Summary!C3, IF(A23&lt;=(Summary!C3+Summary!C4), (Tranche_Detail!D14)/Summary!C4, (Tranche_Detail!E14)/Summary!C5))</f>
        <v/>
      </c>
      <c r="J23" s="6">
        <f>IF(A23&lt;=Summary!C3, (Tranche_Detail!C17)/Summary!C3, IF(A23&lt;=(Summary!C3+Summary!C4), (Tranche_Detail!D17)/Summary!C4, (Tranche_Detail!E17)/Summary!C5))</f>
        <v/>
      </c>
      <c r="K23" s="6">
        <f>SUM(F23:J23)</f>
        <v/>
      </c>
      <c r="L23" s="6">
        <f>K23-D23</f>
        <v/>
      </c>
      <c r="M23" s="6">
        <f>B23+E23-K23</f>
        <v/>
      </c>
      <c r="N23" s="9">
        <f>IF(L23&gt;0, M23/L23, 999)</f>
        <v/>
      </c>
    </row>
    <row r="24">
      <c r="A24" t="n">
        <v>22</v>
      </c>
      <c r="B24" s="6">
        <f>M23</f>
        <v/>
      </c>
      <c r="C24" s="6">
        <f>Assumptions!C32</f>
        <v/>
      </c>
      <c r="D24" s="6">
        <f>IF(A24&lt;=12, (County_League_Model!B21/12)*(A24/12), IF(A24&lt;=24, (County_League_Model!C21/12), (County_League_Model!D21/12)))</f>
        <v/>
      </c>
      <c r="E24" s="6">
        <f>C24+D24</f>
        <v/>
      </c>
      <c r="F24" s="6">
        <f>IF(A24&lt;=Summary!C3, (Tranche_Detail!C6)/Summary!C3, IF(A24&lt;=(Summary!C3+Summary!C4), (Tranche_Detail!D6)/Summary!C4, (Tranche_Detail!E6)/Summary!C5))</f>
        <v/>
      </c>
      <c r="G24" s="6">
        <f>IF(A24&lt;=Summary!C3, (Tranche_Detail!C10)/Summary!C3, IF(A24&lt;=(Summary!C3+Summary!C4), (Tranche_Detail!D10)/Summary!C4, (Tranche_Detail!E10)/Summary!C5))</f>
        <v/>
      </c>
      <c r="H24" s="6">
        <f>IF(A24&lt;=Summary!C3, (Tranche_Detail!C12)/Summary!C3, IF(A24&lt;=(Summary!C3+Summary!C4), (Tranche_Detail!D12)/Summary!C4, (Tranche_Detail!E12)/Summary!C5))</f>
        <v/>
      </c>
      <c r="I24" s="6">
        <f>IF(A24&lt;=Summary!C3, (Tranche_Detail!C14)/Summary!C3, IF(A24&lt;=(Summary!C3+Summary!C4), (Tranche_Detail!D14)/Summary!C4, (Tranche_Detail!E14)/Summary!C5))</f>
        <v/>
      </c>
      <c r="J24" s="6">
        <f>IF(A24&lt;=Summary!C3, (Tranche_Detail!C17)/Summary!C3, IF(A24&lt;=(Summary!C3+Summary!C4), (Tranche_Detail!D17)/Summary!C4, (Tranche_Detail!E17)/Summary!C5))</f>
        <v/>
      </c>
      <c r="K24" s="6">
        <f>SUM(F24:J24)</f>
        <v/>
      </c>
      <c r="L24" s="6">
        <f>K24-D24</f>
        <v/>
      </c>
      <c r="M24" s="6">
        <f>B24+E24-K24</f>
        <v/>
      </c>
      <c r="N24" s="9">
        <f>IF(L24&gt;0, M24/L24, 999)</f>
        <v/>
      </c>
    </row>
    <row r="25">
      <c r="A25" t="n">
        <v>23</v>
      </c>
      <c r="B25" s="6">
        <f>M24</f>
        <v/>
      </c>
      <c r="C25" s="6" t="n">
        <v>0</v>
      </c>
      <c r="D25" s="6">
        <f>IF(A25&lt;=12, (County_League_Model!B21/12)*(A25/12), IF(A25&lt;=24, (County_League_Model!C21/12), (County_League_Model!D21/12)))</f>
        <v/>
      </c>
      <c r="E25" s="6">
        <f>C25+D25</f>
        <v/>
      </c>
      <c r="F25" s="6">
        <f>IF(A25&lt;=Summary!C3, (Tranche_Detail!C6)/Summary!C3, IF(A25&lt;=(Summary!C3+Summary!C4), (Tranche_Detail!D6)/Summary!C4, (Tranche_Detail!E6)/Summary!C5))</f>
        <v/>
      </c>
      <c r="G25" s="6">
        <f>IF(A25&lt;=Summary!C3, (Tranche_Detail!C10)/Summary!C3, IF(A25&lt;=(Summary!C3+Summary!C4), (Tranche_Detail!D10)/Summary!C4, (Tranche_Detail!E10)/Summary!C5))</f>
        <v/>
      </c>
      <c r="H25" s="6">
        <f>IF(A25&lt;=Summary!C3, (Tranche_Detail!C12)/Summary!C3, IF(A25&lt;=(Summary!C3+Summary!C4), (Tranche_Detail!D12)/Summary!C4, (Tranche_Detail!E12)/Summary!C5))</f>
        <v/>
      </c>
      <c r="I25" s="6">
        <f>IF(A25&lt;=Summary!C3, (Tranche_Detail!C14)/Summary!C3, IF(A25&lt;=(Summary!C3+Summary!C4), (Tranche_Detail!D14)/Summary!C4, (Tranche_Detail!E14)/Summary!C5))</f>
        <v/>
      </c>
      <c r="J25" s="6">
        <f>IF(A25&lt;=Summary!C3, (Tranche_Detail!C17)/Summary!C3, IF(A25&lt;=(Summary!C3+Summary!C4), (Tranche_Detail!D17)/Summary!C4, (Tranche_Detail!E17)/Summary!C5))</f>
        <v/>
      </c>
      <c r="K25" s="6">
        <f>SUM(F25:J25)</f>
        <v/>
      </c>
      <c r="L25" s="6">
        <f>K25-D25</f>
        <v/>
      </c>
      <c r="M25" s="6">
        <f>B25+E25-K25</f>
        <v/>
      </c>
      <c r="N25" s="9">
        <f>IF(L25&gt;0, M25/L25, 999)</f>
        <v/>
      </c>
    </row>
    <row r="26">
      <c r="A26" t="n">
        <v>24</v>
      </c>
      <c r="B26" s="6">
        <f>M25</f>
        <v/>
      </c>
      <c r="C26" s="6" t="n">
        <v>0</v>
      </c>
      <c r="D26" s="6">
        <f>IF(A26&lt;=12, (County_League_Model!B21/12)*(A26/12), IF(A26&lt;=24, (County_League_Model!C21/12), (County_League_Model!D21/12)))</f>
        <v/>
      </c>
      <c r="E26" s="6">
        <f>C26+D26</f>
        <v/>
      </c>
      <c r="F26" s="6">
        <f>IF(A26&lt;=Summary!C3, (Tranche_Detail!C6)/Summary!C3, IF(A26&lt;=(Summary!C3+Summary!C4), (Tranche_Detail!D6)/Summary!C4, (Tranche_Detail!E6)/Summary!C5))</f>
        <v/>
      </c>
      <c r="G26" s="6">
        <f>IF(A26&lt;=Summary!C3, (Tranche_Detail!C10)/Summary!C3, IF(A26&lt;=(Summary!C3+Summary!C4), (Tranche_Detail!D10)/Summary!C4, (Tranche_Detail!E10)/Summary!C5))</f>
        <v/>
      </c>
      <c r="H26" s="6">
        <f>IF(A26&lt;=Summary!C3, (Tranche_Detail!C12)/Summary!C3, IF(A26&lt;=(Summary!C3+Summary!C4), (Tranche_Detail!D12)/Summary!C4, (Tranche_Detail!E12)/Summary!C5))</f>
        <v/>
      </c>
      <c r="I26" s="6">
        <f>IF(A26&lt;=Summary!C3, (Tranche_Detail!C14)/Summary!C3, IF(A26&lt;=(Summary!C3+Summary!C4), (Tranche_Detail!D14)/Summary!C4, (Tranche_Detail!E14)/Summary!C5))</f>
        <v/>
      </c>
      <c r="J26" s="6">
        <f>IF(A26&lt;=Summary!C3, (Tranche_Detail!C17)/Summary!C3, IF(A26&lt;=(Summary!C3+Summary!C4), (Tranche_Detail!D17)/Summary!C4, (Tranche_Detail!E17)/Summary!C5))</f>
        <v/>
      </c>
      <c r="K26" s="6">
        <f>SUM(F26:J26)</f>
        <v/>
      </c>
      <c r="L26" s="6">
        <f>K26-D26</f>
        <v/>
      </c>
      <c r="M26" s="6">
        <f>B26+E26-K26</f>
        <v/>
      </c>
      <c r="N26" s="9">
        <f>IF(L26&gt;0, M26/L26, 999)</f>
        <v/>
      </c>
    </row>
    <row r="27">
      <c r="A27" t="n">
        <v>25</v>
      </c>
      <c r="B27" s="6">
        <f>M26</f>
        <v/>
      </c>
      <c r="C27" s="6" t="n">
        <v>0</v>
      </c>
      <c r="D27" s="6">
        <f>IF(A27&lt;=12, (County_League_Model!B21/12)*(A27/12), IF(A27&lt;=24, (County_League_Model!C21/12), (County_League_Model!D21/12)))</f>
        <v/>
      </c>
      <c r="E27" s="6">
        <f>C27+D27</f>
        <v/>
      </c>
      <c r="F27" s="6">
        <f>IF(A27&lt;=Summary!C3, (Tranche_Detail!C6)/Summary!C3, IF(A27&lt;=(Summary!C3+Summary!C4), (Tranche_Detail!D6)/Summary!C4, (Tranche_Detail!E6)/Summary!C5))</f>
        <v/>
      </c>
      <c r="G27" s="6">
        <f>IF(A27&lt;=Summary!C3, (Tranche_Detail!C10)/Summary!C3, IF(A27&lt;=(Summary!C3+Summary!C4), (Tranche_Detail!D10)/Summary!C4, (Tranche_Detail!E10)/Summary!C5))</f>
        <v/>
      </c>
      <c r="H27" s="6">
        <f>IF(A27&lt;=Summary!C3, (Tranche_Detail!C12)/Summary!C3, IF(A27&lt;=(Summary!C3+Summary!C4), (Tranche_Detail!D12)/Summary!C4, (Tranche_Detail!E12)/Summary!C5))</f>
        <v/>
      </c>
      <c r="I27" s="6">
        <f>IF(A27&lt;=Summary!C3, (Tranche_Detail!C14)/Summary!C3, IF(A27&lt;=(Summary!C3+Summary!C4), (Tranche_Detail!D14)/Summary!C4, (Tranche_Detail!E14)/Summary!C5))</f>
        <v/>
      </c>
      <c r="J27" s="6">
        <f>IF(A27&lt;=Summary!C3, (Tranche_Detail!C17)/Summary!C3, IF(A27&lt;=(Summary!C3+Summary!C4), (Tranche_Detail!D17)/Summary!C4, (Tranche_Detail!E17)/Summary!C5))</f>
        <v/>
      </c>
      <c r="K27" s="6">
        <f>SUM(F27:J27)</f>
        <v/>
      </c>
      <c r="L27" s="6">
        <f>K27-D27</f>
        <v/>
      </c>
      <c r="M27" s="6">
        <f>B27+E27-K27</f>
        <v/>
      </c>
      <c r="N27" s="9">
        <f>IF(L27&gt;0, M27/L27, 999)</f>
        <v/>
      </c>
    </row>
    <row r="28">
      <c r="A28" t="n">
        <v>26</v>
      </c>
      <c r="B28" s="6">
        <f>M27</f>
        <v/>
      </c>
      <c r="C28" s="6" t="n">
        <v>0</v>
      </c>
      <c r="D28" s="6">
        <f>IF(A28&lt;=12, (County_League_Model!B21/12)*(A28/12), IF(A28&lt;=24, (County_League_Model!C21/12), (County_League_Model!D21/12)))</f>
        <v/>
      </c>
      <c r="E28" s="6">
        <f>C28+D28</f>
        <v/>
      </c>
      <c r="F28" s="6">
        <f>IF(A28&lt;=Summary!C3, (Tranche_Detail!C6)/Summary!C3, IF(A28&lt;=(Summary!C3+Summary!C4), (Tranche_Detail!D6)/Summary!C4, (Tranche_Detail!E6)/Summary!C5))</f>
        <v/>
      </c>
      <c r="G28" s="6">
        <f>IF(A28&lt;=Summary!C3, (Tranche_Detail!C10)/Summary!C3, IF(A28&lt;=(Summary!C3+Summary!C4), (Tranche_Detail!D10)/Summary!C4, (Tranche_Detail!E10)/Summary!C5))</f>
        <v/>
      </c>
      <c r="H28" s="6">
        <f>IF(A28&lt;=Summary!C3, (Tranche_Detail!C12)/Summary!C3, IF(A28&lt;=(Summary!C3+Summary!C4), (Tranche_Detail!D12)/Summary!C4, (Tranche_Detail!E12)/Summary!C5))</f>
        <v/>
      </c>
      <c r="I28" s="6">
        <f>IF(A28&lt;=Summary!C3, (Tranche_Detail!C14)/Summary!C3, IF(A28&lt;=(Summary!C3+Summary!C4), (Tranche_Detail!D14)/Summary!C4, (Tranche_Detail!E14)/Summary!C5))</f>
        <v/>
      </c>
      <c r="J28" s="6">
        <f>IF(A28&lt;=Summary!C3, (Tranche_Detail!C17)/Summary!C3, IF(A28&lt;=(Summary!C3+Summary!C4), (Tranche_Detail!D17)/Summary!C4, (Tranche_Detail!E17)/Summary!C5))</f>
        <v/>
      </c>
      <c r="K28" s="6">
        <f>SUM(F28:J28)</f>
        <v/>
      </c>
      <c r="L28" s="6">
        <f>K28-D28</f>
        <v/>
      </c>
      <c r="M28" s="6">
        <f>B28+E28-K28</f>
        <v/>
      </c>
      <c r="N28" s="9">
        <f>IF(L28&gt;0, M28/L28, 999)</f>
        <v/>
      </c>
    </row>
    <row r="29">
      <c r="A29" t="n">
        <v>27</v>
      </c>
      <c r="B29" s="6">
        <f>M28</f>
        <v/>
      </c>
      <c r="C29" s="6" t="n">
        <v>0</v>
      </c>
      <c r="D29" s="6">
        <f>IF(A29&lt;=12, (County_League_Model!B21/12)*(A29/12), IF(A29&lt;=24, (County_League_Model!C21/12), (County_League_Model!D21/12)))</f>
        <v/>
      </c>
      <c r="E29" s="6">
        <f>C29+D29</f>
        <v/>
      </c>
      <c r="F29" s="6">
        <f>IF(A29&lt;=Summary!C3, (Tranche_Detail!C6)/Summary!C3, IF(A29&lt;=(Summary!C3+Summary!C4), (Tranche_Detail!D6)/Summary!C4, (Tranche_Detail!E6)/Summary!C5))</f>
        <v/>
      </c>
      <c r="G29" s="6">
        <f>IF(A29&lt;=Summary!C3, (Tranche_Detail!C10)/Summary!C3, IF(A29&lt;=(Summary!C3+Summary!C4), (Tranche_Detail!D10)/Summary!C4, (Tranche_Detail!E10)/Summary!C5))</f>
        <v/>
      </c>
      <c r="H29" s="6">
        <f>IF(A29&lt;=Summary!C3, (Tranche_Detail!C12)/Summary!C3, IF(A29&lt;=(Summary!C3+Summary!C4), (Tranche_Detail!D12)/Summary!C4, (Tranche_Detail!E12)/Summary!C5))</f>
        <v/>
      </c>
      <c r="I29" s="6">
        <f>IF(A29&lt;=Summary!C3, (Tranche_Detail!C14)/Summary!C3, IF(A29&lt;=(Summary!C3+Summary!C4), (Tranche_Detail!D14)/Summary!C4, (Tranche_Detail!E14)/Summary!C5))</f>
        <v/>
      </c>
      <c r="J29" s="6">
        <f>IF(A29&lt;=Summary!C3, (Tranche_Detail!C17)/Summary!C3, IF(A29&lt;=(Summary!C3+Summary!C4), (Tranche_Detail!D17)/Summary!C4, (Tranche_Detail!E17)/Summary!C5))</f>
        <v/>
      </c>
      <c r="K29" s="6">
        <f>SUM(F29:J29)</f>
        <v/>
      </c>
      <c r="L29" s="6">
        <f>K29-D29</f>
        <v/>
      </c>
      <c r="M29" s="6">
        <f>B29+E29-K29</f>
        <v/>
      </c>
      <c r="N29" s="9">
        <f>IF(L29&gt;0, M29/L29, 999)</f>
        <v/>
      </c>
    </row>
    <row r="30">
      <c r="A30" t="n">
        <v>28</v>
      </c>
      <c r="B30" s="6">
        <f>M29</f>
        <v/>
      </c>
      <c r="C30" s="6" t="n">
        <v>0</v>
      </c>
      <c r="D30" s="6">
        <f>IF(A30&lt;=12, (County_League_Model!B21/12)*(A30/12), IF(A30&lt;=24, (County_League_Model!C21/12), (County_League_Model!D21/12)))</f>
        <v/>
      </c>
      <c r="E30" s="6">
        <f>C30+D30</f>
        <v/>
      </c>
      <c r="F30" s="6">
        <f>IF(A30&lt;=Summary!C3, (Tranche_Detail!C6)/Summary!C3, IF(A30&lt;=(Summary!C3+Summary!C4), (Tranche_Detail!D6)/Summary!C4, (Tranche_Detail!E6)/Summary!C5))</f>
        <v/>
      </c>
      <c r="G30" s="6">
        <f>IF(A30&lt;=Summary!C3, (Tranche_Detail!C10)/Summary!C3, IF(A30&lt;=(Summary!C3+Summary!C4), (Tranche_Detail!D10)/Summary!C4, (Tranche_Detail!E10)/Summary!C5))</f>
        <v/>
      </c>
      <c r="H30" s="6">
        <f>IF(A30&lt;=Summary!C3, (Tranche_Detail!C12)/Summary!C3, IF(A30&lt;=(Summary!C3+Summary!C4), (Tranche_Detail!D12)/Summary!C4, (Tranche_Detail!E12)/Summary!C5))</f>
        <v/>
      </c>
      <c r="I30" s="6">
        <f>IF(A30&lt;=Summary!C3, (Tranche_Detail!C14)/Summary!C3, IF(A30&lt;=(Summary!C3+Summary!C4), (Tranche_Detail!D14)/Summary!C4, (Tranche_Detail!E14)/Summary!C5))</f>
        <v/>
      </c>
      <c r="J30" s="6">
        <f>IF(A30&lt;=Summary!C3, (Tranche_Detail!C17)/Summary!C3, IF(A30&lt;=(Summary!C3+Summary!C4), (Tranche_Detail!D17)/Summary!C4, (Tranche_Detail!E17)/Summary!C5))</f>
        <v/>
      </c>
      <c r="K30" s="6">
        <f>SUM(F30:J30)</f>
        <v/>
      </c>
      <c r="L30" s="6">
        <f>K30-D30</f>
        <v/>
      </c>
      <c r="M30" s="6">
        <f>B30+E30-K30</f>
        <v/>
      </c>
      <c r="N30" s="9">
        <f>IF(L30&gt;0, M30/L30, 999)</f>
        <v/>
      </c>
    </row>
    <row r="31">
      <c r="A31" t="n">
        <v>29</v>
      </c>
      <c r="B31" s="6">
        <f>M30</f>
        <v/>
      </c>
      <c r="C31" s="6" t="n">
        <v>0</v>
      </c>
      <c r="D31" s="6">
        <f>IF(A31&lt;=12, (County_League_Model!B21/12)*(A31/12), IF(A31&lt;=24, (County_League_Model!C21/12), (County_League_Model!D21/12)))</f>
        <v/>
      </c>
      <c r="E31" s="6">
        <f>C31+D31</f>
        <v/>
      </c>
      <c r="F31" s="6">
        <f>IF(A31&lt;=Summary!C3, (Tranche_Detail!C6)/Summary!C3, IF(A31&lt;=(Summary!C3+Summary!C4), (Tranche_Detail!D6)/Summary!C4, (Tranche_Detail!E6)/Summary!C5))</f>
        <v/>
      </c>
      <c r="G31" s="6">
        <f>IF(A31&lt;=Summary!C3, (Tranche_Detail!C10)/Summary!C3, IF(A31&lt;=(Summary!C3+Summary!C4), (Tranche_Detail!D10)/Summary!C4, (Tranche_Detail!E10)/Summary!C5))</f>
        <v/>
      </c>
      <c r="H31" s="6">
        <f>IF(A31&lt;=Summary!C3, (Tranche_Detail!C12)/Summary!C3, IF(A31&lt;=(Summary!C3+Summary!C4), (Tranche_Detail!D12)/Summary!C4, (Tranche_Detail!E12)/Summary!C5))</f>
        <v/>
      </c>
      <c r="I31" s="6">
        <f>IF(A31&lt;=Summary!C3, (Tranche_Detail!C14)/Summary!C3, IF(A31&lt;=(Summary!C3+Summary!C4), (Tranche_Detail!D14)/Summary!C4, (Tranche_Detail!E14)/Summary!C5))</f>
        <v/>
      </c>
      <c r="J31" s="6">
        <f>IF(A31&lt;=Summary!C3, (Tranche_Detail!C17)/Summary!C3, IF(A31&lt;=(Summary!C3+Summary!C4), (Tranche_Detail!D17)/Summary!C4, (Tranche_Detail!E17)/Summary!C5))</f>
        <v/>
      </c>
      <c r="K31" s="6">
        <f>SUM(F31:J31)</f>
        <v/>
      </c>
      <c r="L31" s="6">
        <f>K31-D31</f>
        <v/>
      </c>
      <c r="M31" s="6">
        <f>B31+E31-K31</f>
        <v/>
      </c>
      <c r="N31" s="9">
        <f>IF(L31&gt;0, M31/L31, 999)</f>
        <v/>
      </c>
    </row>
    <row r="32">
      <c r="A32" t="n">
        <v>30</v>
      </c>
      <c r="B32" s="6">
        <f>M31</f>
        <v/>
      </c>
      <c r="C32" s="6" t="n">
        <v>0</v>
      </c>
      <c r="D32" s="6">
        <f>IF(A32&lt;=12, (County_League_Model!B21/12)*(A32/12), IF(A32&lt;=24, (County_League_Model!C21/12), (County_League_Model!D21/12)))</f>
        <v/>
      </c>
      <c r="E32" s="6">
        <f>C32+D32</f>
        <v/>
      </c>
      <c r="F32" s="6">
        <f>IF(A32&lt;=Summary!C3, (Tranche_Detail!C6)/Summary!C3, IF(A32&lt;=(Summary!C3+Summary!C4), (Tranche_Detail!D6)/Summary!C4, (Tranche_Detail!E6)/Summary!C5))</f>
        <v/>
      </c>
      <c r="G32" s="6">
        <f>IF(A32&lt;=Summary!C3, (Tranche_Detail!C10)/Summary!C3, IF(A32&lt;=(Summary!C3+Summary!C4), (Tranche_Detail!D10)/Summary!C4, (Tranche_Detail!E10)/Summary!C5))</f>
        <v/>
      </c>
      <c r="H32" s="6">
        <f>IF(A32&lt;=Summary!C3, (Tranche_Detail!C12)/Summary!C3, IF(A32&lt;=(Summary!C3+Summary!C4), (Tranche_Detail!D12)/Summary!C4, (Tranche_Detail!E12)/Summary!C5))</f>
        <v/>
      </c>
      <c r="I32" s="6">
        <f>IF(A32&lt;=Summary!C3, (Tranche_Detail!C14)/Summary!C3, IF(A32&lt;=(Summary!C3+Summary!C4), (Tranche_Detail!D14)/Summary!C4, (Tranche_Detail!E14)/Summary!C5))</f>
        <v/>
      </c>
      <c r="J32" s="6">
        <f>IF(A32&lt;=Summary!C3, (Tranche_Detail!C17)/Summary!C3, IF(A32&lt;=(Summary!C3+Summary!C4), (Tranche_Detail!D17)/Summary!C4, (Tranche_Detail!E17)/Summary!C5))</f>
        <v/>
      </c>
      <c r="K32" s="6">
        <f>SUM(F32:J32)</f>
        <v/>
      </c>
      <c r="L32" s="6">
        <f>K32-D32</f>
        <v/>
      </c>
      <c r="M32" s="6">
        <f>B32+E32-K32</f>
        <v/>
      </c>
      <c r="N32" s="9">
        <f>IF(L32&gt;0, M32/L32, 999)</f>
        <v/>
      </c>
    </row>
    <row r="33">
      <c r="A33" t="n">
        <v>31</v>
      </c>
      <c r="B33" s="6">
        <f>M32</f>
        <v/>
      </c>
      <c r="C33" s="6" t="n">
        <v>0</v>
      </c>
      <c r="D33" s="6">
        <f>IF(A33&lt;=12, (County_League_Model!B21/12)*(A33/12), IF(A33&lt;=24, (County_League_Model!C21/12), (County_League_Model!D21/12)))</f>
        <v/>
      </c>
      <c r="E33" s="6">
        <f>C33+D33</f>
        <v/>
      </c>
      <c r="F33" s="6">
        <f>IF(A33&lt;=Summary!C3, (Tranche_Detail!C6)/Summary!C3, IF(A33&lt;=(Summary!C3+Summary!C4), (Tranche_Detail!D6)/Summary!C4, (Tranche_Detail!E6)/Summary!C5))</f>
        <v/>
      </c>
      <c r="G33" s="6">
        <f>IF(A33&lt;=Summary!C3, (Tranche_Detail!C10)/Summary!C3, IF(A33&lt;=(Summary!C3+Summary!C4), (Tranche_Detail!D10)/Summary!C4, (Tranche_Detail!E10)/Summary!C5))</f>
        <v/>
      </c>
      <c r="H33" s="6">
        <f>IF(A33&lt;=Summary!C3, (Tranche_Detail!C12)/Summary!C3, IF(A33&lt;=(Summary!C3+Summary!C4), (Tranche_Detail!D12)/Summary!C4, (Tranche_Detail!E12)/Summary!C5))</f>
        <v/>
      </c>
      <c r="I33" s="6">
        <f>IF(A33&lt;=Summary!C3, (Tranche_Detail!C14)/Summary!C3, IF(A33&lt;=(Summary!C3+Summary!C4), (Tranche_Detail!D14)/Summary!C4, (Tranche_Detail!E14)/Summary!C5))</f>
        <v/>
      </c>
      <c r="J33" s="6">
        <f>IF(A33&lt;=Summary!C3, (Tranche_Detail!C17)/Summary!C3, IF(A33&lt;=(Summary!C3+Summary!C4), (Tranche_Detail!D17)/Summary!C4, (Tranche_Detail!E17)/Summary!C5))</f>
        <v/>
      </c>
      <c r="K33" s="6">
        <f>SUM(F33:J33)</f>
        <v/>
      </c>
      <c r="L33" s="6">
        <f>K33-D33</f>
        <v/>
      </c>
      <c r="M33" s="6">
        <f>B33+E33-K33</f>
        <v/>
      </c>
      <c r="N33" s="9">
        <f>IF(L33&gt;0, M33/L33, 999)</f>
        <v/>
      </c>
    </row>
    <row r="34">
      <c r="A34" t="n">
        <v>32</v>
      </c>
      <c r="B34" s="6">
        <f>M33</f>
        <v/>
      </c>
      <c r="C34" s="6" t="n">
        <v>0</v>
      </c>
      <c r="D34" s="6">
        <f>IF(A34&lt;=12, (County_League_Model!B21/12)*(A34/12), IF(A34&lt;=24, (County_League_Model!C21/12), (County_League_Model!D21/12)))</f>
        <v/>
      </c>
      <c r="E34" s="6">
        <f>C34+D34</f>
        <v/>
      </c>
      <c r="F34" s="6">
        <f>IF(A34&lt;=Summary!C3, (Tranche_Detail!C6)/Summary!C3, IF(A34&lt;=(Summary!C3+Summary!C4), (Tranche_Detail!D6)/Summary!C4, (Tranche_Detail!E6)/Summary!C5))</f>
        <v/>
      </c>
      <c r="G34" s="6">
        <f>IF(A34&lt;=Summary!C3, (Tranche_Detail!C10)/Summary!C3, IF(A34&lt;=(Summary!C3+Summary!C4), (Tranche_Detail!D10)/Summary!C4, (Tranche_Detail!E10)/Summary!C5))</f>
        <v/>
      </c>
      <c r="H34" s="6">
        <f>IF(A34&lt;=Summary!C3, (Tranche_Detail!C12)/Summary!C3, IF(A34&lt;=(Summary!C3+Summary!C4), (Tranche_Detail!D12)/Summary!C4, (Tranche_Detail!E12)/Summary!C5))</f>
        <v/>
      </c>
      <c r="I34" s="6">
        <f>IF(A34&lt;=Summary!C3, (Tranche_Detail!C14)/Summary!C3, IF(A34&lt;=(Summary!C3+Summary!C4), (Tranche_Detail!D14)/Summary!C4, (Tranche_Detail!E14)/Summary!C5))</f>
        <v/>
      </c>
      <c r="J34" s="6">
        <f>IF(A34&lt;=Summary!C3, (Tranche_Detail!C17)/Summary!C3, IF(A34&lt;=(Summary!C3+Summary!C4), (Tranche_Detail!D17)/Summary!C4, (Tranche_Detail!E17)/Summary!C5))</f>
        <v/>
      </c>
      <c r="K34" s="6">
        <f>SUM(F34:J34)</f>
        <v/>
      </c>
      <c r="L34" s="6">
        <f>K34-D34</f>
        <v/>
      </c>
      <c r="M34" s="6">
        <f>B34+E34-K34</f>
        <v/>
      </c>
      <c r="N34" s="9">
        <f>IF(L34&gt;0, M34/L34, 999)</f>
        <v/>
      </c>
    </row>
    <row r="35">
      <c r="A35" t="n">
        <v>33</v>
      </c>
      <c r="B35" s="6">
        <f>M34</f>
        <v/>
      </c>
      <c r="C35" s="6" t="n">
        <v>0</v>
      </c>
      <c r="D35" s="6">
        <f>IF(A35&lt;=12, (County_League_Model!B21/12)*(A35/12), IF(A35&lt;=24, (County_League_Model!C21/12), (County_League_Model!D21/12)))</f>
        <v/>
      </c>
      <c r="E35" s="6">
        <f>C35+D35</f>
        <v/>
      </c>
      <c r="F35" s="6">
        <f>IF(A35&lt;=Summary!C3, (Tranche_Detail!C6)/Summary!C3, IF(A35&lt;=(Summary!C3+Summary!C4), (Tranche_Detail!D6)/Summary!C4, (Tranche_Detail!E6)/Summary!C5))</f>
        <v/>
      </c>
      <c r="G35" s="6">
        <f>IF(A35&lt;=Summary!C3, (Tranche_Detail!C10)/Summary!C3, IF(A35&lt;=(Summary!C3+Summary!C4), (Tranche_Detail!D10)/Summary!C4, (Tranche_Detail!E10)/Summary!C5))</f>
        <v/>
      </c>
      <c r="H35" s="6">
        <f>IF(A35&lt;=Summary!C3, (Tranche_Detail!C12)/Summary!C3, IF(A35&lt;=(Summary!C3+Summary!C4), (Tranche_Detail!D12)/Summary!C4, (Tranche_Detail!E12)/Summary!C5))</f>
        <v/>
      </c>
      <c r="I35" s="6">
        <f>IF(A35&lt;=Summary!C3, (Tranche_Detail!C14)/Summary!C3, IF(A35&lt;=(Summary!C3+Summary!C4), (Tranche_Detail!D14)/Summary!C4, (Tranche_Detail!E14)/Summary!C5))</f>
        <v/>
      </c>
      <c r="J35" s="6">
        <f>IF(A35&lt;=Summary!C3, (Tranche_Detail!C17)/Summary!C3, IF(A35&lt;=(Summary!C3+Summary!C4), (Tranche_Detail!D17)/Summary!C4, (Tranche_Detail!E17)/Summary!C5))</f>
        <v/>
      </c>
      <c r="K35" s="6">
        <f>SUM(F35:J35)</f>
        <v/>
      </c>
      <c r="L35" s="6">
        <f>K35-D35</f>
        <v/>
      </c>
      <c r="M35" s="6">
        <f>B35+E35-K35</f>
        <v/>
      </c>
      <c r="N35" s="9">
        <f>IF(L35&gt;0, M35/L35, 999)</f>
        <v/>
      </c>
    </row>
    <row r="36">
      <c r="A36" t="n">
        <v>34</v>
      </c>
      <c r="B36" s="6">
        <f>M35</f>
        <v/>
      </c>
      <c r="C36" s="6" t="n">
        <v>0</v>
      </c>
      <c r="D36" s="6">
        <f>IF(A36&lt;=12, (County_League_Model!B21/12)*(A36/12), IF(A36&lt;=24, (County_League_Model!C21/12), (County_League_Model!D21/12)))</f>
        <v/>
      </c>
      <c r="E36" s="6">
        <f>C36+D36</f>
        <v/>
      </c>
      <c r="F36" s="6">
        <f>IF(A36&lt;=Summary!C3, (Tranche_Detail!C6)/Summary!C3, IF(A36&lt;=(Summary!C3+Summary!C4), (Tranche_Detail!D6)/Summary!C4, (Tranche_Detail!E6)/Summary!C5))</f>
        <v/>
      </c>
      <c r="G36" s="6">
        <f>IF(A36&lt;=Summary!C3, (Tranche_Detail!C10)/Summary!C3, IF(A36&lt;=(Summary!C3+Summary!C4), (Tranche_Detail!D10)/Summary!C4, (Tranche_Detail!E10)/Summary!C5))</f>
        <v/>
      </c>
      <c r="H36" s="6">
        <f>IF(A36&lt;=Summary!C3, (Tranche_Detail!C12)/Summary!C3, IF(A36&lt;=(Summary!C3+Summary!C4), (Tranche_Detail!D12)/Summary!C4, (Tranche_Detail!E12)/Summary!C5))</f>
        <v/>
      </c>
      <c r="I36" s="6">
        <f>IF(A36&lt;=Summary!C3, (Tranche_Detail!C14)/Summary!C3, IF(A36&lt;=(Summary!C3+Summary!C4), (Tranche_Detail!D14)/Summary!C4, (Tranche_Detail!E14)/Summary!C5))</f>
        <v/>
      </c>
      <c r="J36" s="6">
        <f>IF(A36&lt;=Summary!C3, (Tranche_Detail!C17)/Summary!C3, IF(A36&lt;=(Summary!C3+Summary!C4), (Tranche_Detail!D17)/Summary!C4, (Tranche_Detail!E17)/Summary!C5))</f>
        <v/>
      </c>
      <c r="K36" s="6">
        <f>SUM(F36:J36)</f>
        <v/>
      </c>
      <c r="L36" s="6">
        <f>K36-D36</f>
        <v/>
      </c>
      <c r="M36" s="6">
        <f>B36+E36-K36</f>
        <v/>
      </c>
      <c r="N36" s="9">
        <f>IF(L36&gt;0, M36/L36, 999)</f>
        <v/>
      </c>
    </row>
    <row r="37">
      <c r="A37" t="n">
        <v>35</v>
      </c>
      <c r="B37" s="6">
        <f>M36</f>
        <v/>
      </c>
      <c r="C37" s="6" t="n">
        <v>0</v>
      </c>
      <c r="D37" s="6">
        <f>IF(A37&lt;=12, (County_League_Model!B21/12)*(A37/12), IF(A37&lt;=24, (County_League_Model!C21/12), (County_League_Model!D21/12)))</f>
        <v/>
      </c>
      <c r="E37" s="6">
        <f>C37+D37</f>
        <v/>
      </c>
      <c r="F37" s="6">
        <f>IF(A37&lt;=Summary!C3, (Tranche_Detail!C6)/Summary!C3, IF(A37&lt;=(Summary!C3+Summary!C4), (Tranche_Detail!D6)/Summary!C4, (Tranche_Detail!E6)/Summary!C5))</f>
        <v/>
      </c>
      <c r="G37" s="6">
        <f>IF(A37&lt;=Summary!C3, (Tranche_Detail!C10)/Summary!C3, IF(A37&lt;=(Summary!C3+Summary!C4), (Tranche_Detail!D10)/Summary!C4, (Tranche_Detail!E10)/Summary!C5))</f>
        <v/>
      </c>
      <c r="H37" s="6">
        <f>IF(A37&lt;=Summary!C3, (Tranche_Detail!C12)/Summary!C3, IF(A37&lt;=(Summary!C3+Summary!C4), (Tranche_Detail!D12)/Summary!C4, (Tranche_Detail!E12)/Summary!C5))</f>
        <v/>
      </c>
      <c r="I37" s="6">
        <f>IF(A37&lt;=Summary!C3, (Tranche_Detail!C14)/Summary!C3, IF(A37&lt;=(Summary!C3+Summary!C4), (Tranche_Detail!D14)/Summary!C4, (Tranche_Detail!E14)/Summary!C5))</f>
        <v/>
      </c>
      <c r="J37" s="6">
        <f>IF(A37&lt;=Summary!C3, (Tranche_Detail!C17)/Summary!C3, IF(A37&lt;=(Summary!C3+Summary!C4), (Tranche_Detail!D17)/Summary!C4, (Tranche_Detail!E17)/Summary!C5))</f>
        <v/>
      </c>
      <c r="K37" s="6">
        <f>SUM(F37:J37)</f>
        <v/>
      </c>
      <c r="L37" s="6">
        <f>K37-D37</f>
        <v/>
      </c>
      <c r="M37" s="6">
        <f>B37+E37-K37</f>
        <v/>
      </c>
      <c r="N37" s="9">
        <f>IF(L37&gt;0, M37/L37, 999)</f>
        <v/>
      </c>
    </row>
    <row r="38">
      <c r="A38" t="n">
        <v>36</v>
      </c>
      <c r="B38" s="6">
        <f>M37</f>
        <v/>
      </c>
      <c r="C38" s="6" t="n">
        <v>0</v>
      </c>
      <c r="D38" s="6">
        <f>IF(A38&lt;=12, (County_League_Model!B21/12)*(A38/12), IF(A38&lt;=24, (County_League_Model!C21/12), (County_League_Model!D21/12)))</f>
        <v/>
      </c>
      <c r="E38" s="6">
        <f>C38+D38</f>
        <v/>
      </c>
      <c r="F38" s="6">
        <f>IF(A38&lt;=Summary!C3, (Tranche_Detail!C6)/Summary!C3, IF(A38&lt;=(Summary!C3+Summary!C4), (Tranche_Detail!D6)/Summary!C4, (Tranche_Detail!E6)/Summary!C5))</f>
        <v/>
      </c>
      <c r="G38" s="6">
        <f>IF(A38&lt;=Summary!C3, (Tranche_Detail!C10)/Summary!C3, IF(A38&lt;=(Summary!C3+Summary!C4), (Tranche_Detail!D10)/Summary!C4, (Tranche_Detail!E10)/Summary!C5))</f>
        <v/>
      </c>
      <c r="H38" s="6">
        <f>IF(A38&lt;=Summary!C3, (Tranche_Detail!C12)/Summary!C3, IF(A38&lt;=(Summary!C3+Summary!C4), (Tranche_Detail!D12)/Summary!C4, (Tranche_Detail!E12)/Summary!C5))</f>
        <v/>
      </c>
      <c r="I38" s="6">
        <f>IF(A38&lt;=Summary!C3, (Tranche_Detail!C14)/Summary!C3, IF(A38&lt;=(Summary!C3+Summary!C4), (Tranche_Detail!D14)/Summary!C4, (Tranche_Detail!E14)/Summary!C5))</f>
        <v/>
      </c>
      <c r="J38" s="6">
        <f>IF(A38&lt;=Summary!C3, (Tranche_Detail!C17)/Summary!C3, IF(A38&lt;=(Summary!C3+Summary!C4), (Tranche_Detail!D17)/Summary!C4, (Tranche_Detail!E17)/Summary!C5))</f>
        <v/>
      </c>
      <c r="K38" s="6">
        <f>SUM(F38:J38)</f>
        <v/>
      </c>
      <c r="L38" s="6">
        <f>K38-D38</f>
        <v/>
      </c>
      <c r="M38" s="6">
        <f>B38+E38-K38</f>
        <v/>
      </c>
      <c r="N38" s="9">
        <f>IF(L38&gt;0, M38/L38, 999)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Founder Pay Triggers</t>
        </is>
      </c>
    </row>
    <row r="2">
      <c r="A2" s="2" t="inlineStr">
        <is>
          <t>Stage</t>
        </is>
      </c>
      <c r="B2" s="2" t="inlineStr">
        <is>
          <t>Annual Salary (per Founder)</t>
        </is>
      </c>
      <c r="C2" s="2" t="inlineStr">
        <is>
          <t>MRR Trigger</t>
        </is>
      </c>
      <c r="D2" s="2" t="inlineStr">
        <is>
          <t>Tranche Trigger</t>
        </is>
      </c>
      <c r="E2" s="2" t="inlineStr">
        <is>
          <t>Notes</t>
        </is>
      </c>
    </row>
    <row r="3">
      <c r="A3" t="n">
        <v>1</v>
      </c>
      <c r="B3" s="6">
        <f>Assumptions!C22</f>
        <v/>
      </c>
      <c r="C3" s="6" t="n">
        <v>0</v>
      </c>
      <c r="D3" t="inlineStr">
        <is>
          <t>Tranche A</t>
        </is>
      </c>
      <c r="E3" t="inlineStr">
        <is>
          <t>MVP &amp; Pilot Phase</t>
        </is>
      </c>
    </row>
    <row r="4">
      <c r="A4" t="n">
        <v>2</v>
      </c>
      <c r="B4" s="6">
        <f>Assumptions!C23</f>
        <v/>
      </c>
      <c r="C4" s="6">
        <f>Assumptions!C25</f>
        <v/>
      </c>
      <c r="D4" t="inlineStr">
        <is>
          <t>Tranche B</t>
        </is>
      </c>
      <c r="E4" t="inlineStr">
        <is>
          <t>PMF Phase</t>
        </is>
      </c>
    </row>
    <row r="5">
      <c r="A5" t="n">
        <v>3</v>
      </c>
      <c r="B5" s="6">
        <f>Assumptions!C24</f>
        <v/>
      </c>
      <c r="C5" s="6">
        <f>Assumptions!C26</f>
        <v/>
      </c>
      <c r="D5" t="inlineStr">
        <is>
          <t>Tranche C</t>
        </is>
      </c>
      <c r="E5" t="inlineStr">
        <is>
          <t>Scale Phase</t>
        </is>
      </c>
    </row>
    <row r="7">
      <c r="A7" s="3" t="inlineStr">
        <is>
          <t>Current Status</t>
        </is>
      </c>
    </row>
    <row r="8">
      <c r="A8" t="inlineStr">
        <is>
          <t>Current MRR</t>
        </is>
      </c>
      <c r="B8" s="6">
        <f>County_League_Model!D22</f>
        <v/>
      </c>
      <c r="C8" s="6" t="n"/>
    </row>
    <row r="9">
      <c r="A9" t="inlineStr">
        <is>
          <t>Current Annual Pay (per)</t>
        </is>
      </c>
      <c r="B9" s="6">
        <f>IF(B8&gt;=C4, B4, IF(B8&gt;=C3, B3, B2))</f>
        <v/>
      </c>
      <c r="C9" s="6" t="n"/>
    </row>
    <row r="10">
      <c r="A10" t="inlineStr">
        <is>
          <t>Total Founder Payroll (Annual)</t>
        </is>
      </c>
      <c r="B10" s="6">
        <f>B9*2</f>
        <v/>
      </c>
      <c r="C10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Milestones &amp; KPIs</t>
        </is>
      </c>
    </row>
    <row r="2">
      <c r="A2" s="2" t="inlineStr">
        <is>
          <t>Tranche</t>
        </is>
      </c>
      <c r="B2" s="2" t="inlineStr">
        <is>
          <t>Milestone</t>
        </is>
      </c>
      <c r="C2" s="2" t="inlineStr">
        <is>
          <t>Metric</t>
        </is>
      </c>
      <c r="D2" s="2" t="inlineStr">
        <is>
          <t>Target</t>
        </is>
      </c>
      <c r="E2" s="2" t="inlineStr">
        <is>
          <t>Current</t>
        </is>
      </c>
      <c r="F2" s="2" t="inlineStr">
        <is>
          <t>Status</t>
        </is>
      </c>
    </row>
    <row r="3">
      <c r="A3" t="inlineStr">
        <is>
          <t>A</t>
        </is>
      </c>
      <c r="B3" t="inlineStr">
        <is>
          <t>MVP Launch</t>
        </is>
      </c>
      <c r="C3" t="inlineStr">
        <is>
          <t>App Live</t>
        </is>
      </c>
      <c r="D3" t="n">
        <v>1</v>
      </c>
      <c r="E3" s="10" t="n">
        <v>1</v>
      </c>
      <c r="F3">
        <f>IF(E3&gt;=D3,"Met","Pending")</f>
        <v/>
      </c>
    </row>
    <row r="4">
      <c r="A4" t="inlineStr">
        <is>
          <t>A</t>
        </is>
      </c>
      <c r="B4" t="inlineStr">
        <is>
          <t>Umpires Onboarded</t>
        </is>
      </c>
      <c r="C4" t="inlineStr">
        <is>
          <t>Users</t>
        </is>
      </c>
      <c r="D4" t="n">
        <v>100</v>
      </c>
      <c r="E4" s="10" t="n">
        <v>0</v>
      </c>
      <c r="F4">
        <f>IF(E4&gt;=D4,"Met","Pending")</f>
        <v/>
      </c>
    </row>
    <row r="5">
      <c r="A5" t="inlineStr">
        <is>
          <t>A</t>
        </is>
      </c>
      <c r="B5" t="inlineStr">
        <is>
          <t>Pilot Leagues Secured</t>
        </is>
      </c>
      <c r="C5" t="inlineStr">
        <is>
          <t>Leagues</t>
        </is>
      </c>
      <c r="D5" t="n">
        <v>5</v>
      </c>
      <c r="E5">
        <f>County_League_Model!B5</f>
        <v/>
      </c>
      <c r="F5">
        <f>IF(E5&gt;=D5,"Met","Pending")</f>
        <v/>
      </c>
    </row>
    <row r="6">
      <c r="A6" t="inlineStr">
        <is>
          <t>B</t>
        </is>
      </c>
      <c r="B6" t="inlineStr">
        <is>
          <t>Tranche A Milestones Met</t>
        </is>
      </c>
      <c r="C6" t="inlineStr">
        <is>
          <t>Status</t>
        </is>
      </c>
      <c r="D6" t="n">
        <v>1</v>
      </c>
      <c r="E6">
        <f>IF(F5="Met",1,0)</f>
        <v/>
      </c>
      <c r="F6">
        <f>IF(E6&gt;=D6,"Met","Pending")</f>
        <v/>
      </c>
    </row>
    <row r="7">
      <c r="A7" t="inlineStr">
        <is>
          <t>B</t>
        </is>
      </c>
      <c r="B7" t="inlineStr">
        <is>
          <t>Achieve $15k MRR</t>
        </is>
      </c>
      <c r="C7" t="inlineStr">
        <is>
          <t>MRR</t>
        </is>
      </c>
      <c r="D7" s="6" t="n">
        <v>15000</v>
      </c>
      <c r="E7" s="6">
        <f>County_League_Model!D22</f>
        <v/>
      </c>
      <c r="F7">
        <f>IF(E7&gt;=D7,"Met","Pending")</f>
        <v/>
      </c>
    </row>
    <row r="8">
      <c r="A8" t="inlineStr">
        <is>
          <t>B</t>
        </is>
      </c>
      <c r="B8" t="inlineStr">
        <is>
          <t>Parent Conversion</t>
        </is>
      </c>
      <c r="C8" t="inlineStr">
        <is>
          <t>%</t>
        </is>
      </c>
      <c r="D8" s="5">
        <f>Assumptions!C8</f>
        <v/>
      </c>
      <c r="E8" s="5">
        <f>Assumptions!C8</f>
        <v/>
      </c>
      <c r="F8">
        <f>IF(E8&gt;=D8,"Met","Pending")</f>
        <v/>
      </c>
    </row>
    <row r="9">
      <c r="A9" t="inlineStr">
        <is>
          <t>B</t>
        </is>
      </c>
      <c r="B9" t="inlineStr">
        <is>
          <t>Coach Conversion</t>
        </is>
      </c>
      <c r="C9" t="inlineStr">
        <is>
          <t>%</t>
        </is>
      </c>
      <c r="D9" s="5">
        <f>Assumptions!C9</f>
        <v/>
      </c>
      <c r="E9" s="5">
        <f>Assumptions!C9</f>
        <v/>
      </c>
      <c r="F9">
        <f>IF(E9&gt;=D9,"Met","Pending")</f>
        <v/>
      </c>
    </row>
    <row r="10">
      <c r="A10" t="inlineStr">
        <is>
          <t>C</t>
        </is>
      </c>
      <c r="B10" t="inlineStr">
        <is>
          <t>Tranche B Milestones Met</t>
        </is>
      </c>
      <c r="C10" t="inlineStr">
        <is>
          <t>Status</t>
        </is>
      </c>
      <c r="D10" t="n">
        <v>1</v>
      </c>
      <c r="E10">
        <f>IF(AND(F7="Met",F8="Met",F9="Met"),1,0)</f>
        <v/>
      </c>
      <c r="F10">
        <f>IF(E10&gt;=D10,"Met","Pending")</f>
        <v/>
      </c>
    </row>
    <row r="11">
      <c r="A11" t="inlineStr">
        <is>
          <t>C</t>
        </is>
      </c>
      <c r="B11" t="inlineStr">
        <is>
          <t>Achieve $100k MRR</t>
        </is>
      </c>
      <c r="C11" t="inlineStr">
        <is>
          <t>MRR</t>
        </is>
      </c>
      <c r="D11" s="6" t="n">
        <v>100000</v>
      </c>
      <c r="E11" s="6">
        <f>County_League_Model!D22</f>
        <v/>
      </c>
      <c r="F11">
        <f>IF(E11&gt;=D11,"Met","Pending")</f>
        <v/>
      </c>
    </row>
    <row r="12">
      <c r="A12" t="inlineStr">
        <is>
          <t>C</t>
        </is>
      </c>
      <c r="B12" t="inlineStr">
        <is>
          <t>Org Contracts</t>
        </is>
      </c>
      <c r="C12" t="inlineStr">
        <is>
          <t>Count</t>
        </is>
      </c>
      <c r="D12" t="n">
        <v>10</v>
      </c>
      <c r="E12">
        <f>County_League_Model!D15</f>
        <v/>
      </c>
      <c r="F12">
        <f>IF(E12&gt;=D12,"Met","Pending")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Assumptions</t>
        </is>
      </c>
    </row>
    <row r="2">
      <c r="A2" s="2" t="inlineStr">
        <is>
          <t>Variable</t>
        </is>
      </c>
      <c r="B2" s="2" t="inlineStr">
        <is>
          <t>Conservative</t>
        </is>
      </c>
      <c r="C2" s="2" t="inlineStr">
        <is>
          <t>Base</t>
        </is>
      </c>
      <c r="D2" s="2" t="inlineStr">
        <is>
          <t>Aggressive</t>
        </is>
      </c>
    </row>
    <row r="3">
      <c r="A3" t="inlineStr">
        <is>
          <t>Parent Conversion %</t>
        </is>
      </c>
      <c r="B3" s="5">
        <f>Assumptions!D8</f>
        <v/>
      </c>
      <c r="C3" s="5">
        <f>Assumptions!C8</f>
        <v/>
      </c>
      <c r="D3" s="5">
        <f>Assumptions!E8</f>
        <v/>
      </c>
    </row>
    <row r="4">
      <c r="A4" t="inlineStr">
        <is>
          <t>Coach Conversion %</t>
        </is>
      </c>
      <c r="B4" s="5">
        <f>Assumptions!D9</f>
        <v/>
      </c>
      <c r="C4" s="5">
        <f>Assumptions!C9</f>
        <v/>
      </c>
      <c r="D4" s="5">
        <f>Assumptions!E9</f>
        <v/>
      </c>
    </row>
    <row r="5">
      <c r="A5" t="inlineStr">
        <is>
          <t>Org Conversion %</t>
        </is>
      </c>
      <c r="B5" s="5">
        <f>Assumptions!D10</f>
        <v/>
      </c>
      <c r="C5" s="5">
        <f>Assumptions!C10</f>
        <v/>
      </c>
      <c r="D5" s="5">
        <f>Assumptions!E10</f>
        <v/>
      </c>
    </row>
    <row r="6">
      <c r="A6" t="inlineStr">
        <is>
          <t>Org Price (Annual Avg)</t>
        </is>
      </c>
      <c r="B6" s="6">
        <f>Assumptions!D12</f>
        <v/>
      </c>
      <c r="C6" s="6">
        <f>Assumptions!C12</f>
        <v/>
      </c>
      <c r="D6" s="6">
        <f>Assumptions!E12</f>
        <v/>
      </c>
    </row>
    <row r="7">
      <c r="A7" t="inlineStr">
        <is>
          <t>CAC - Ambassador</t>
        </is>
      </c>
      <c r="B7" s="6">
        <f>Assumptions!D17</f>
        <v/>
      </c>
      <c r="C7" s="6">
        <f>Assumptions!C17</f>
        <v/>
      </c>
      <c r="D7" s="6">
        <f>Assumptions!E17</f>
        <v/>
      </c>
    </row>
    <row r="8">
      <c r="A8" t="inlineStr">
        <is>
          <t>CAC - Social/Digital</t>
        </is>
      </c>
      <c r="B8" s="6">
        <f>Assumptions!D18</f>
        <v/>
      </c>
      <c r="C8" s="6">
        <f>Assumptions!C18</f>
        <v/>
      </c>
      <c r="D8" s="6">
        <f>Assumptions!E18</f>
        <v/>
      </c>
    </row>
    <row r="9">
      <c r="A9" t="inlineStr">
        <is>
          <t>CAC - Organization</t>
        </is>
      </c>
      <c r="B9" s="6">
        <f>Assumptions!D19</f>
        <v/>
      </c>
      <c r="C9" s="6">
        <f>Assumptions!C19</f>
        <v/>
      </c>
      <c r="D9" s="6">
        <f>Assumptions!E19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Scenarios Output Summary</t>
        </is>
      </c>
    </row>
    <row r="2">
      <c r="A2" s="2" t="inlineStr">
        <is>
          <t>Metric</t>
        </is>
      </c>
      <c r="B2" s="2" t="inlineStr">
        <is>
          <t>Conservative</t>
        </is>
      </c>
      <c r="C2" s="2" t="inlineStr">
        <is>
          <t>Base</t>
        </is>
      </c>
      <c r="D2" s="2" t="inlineStr">
        <is>
          <t>Aggressive</t>
        </is>
      </c>
    </row>
    <row r="3">
      <c r="A3" t="inlineStr">
        <is>
          <t>Year 3 ARR</t>
        </is>
      </c>
      <c r="B3" s="6">
        <f>(County_League_Model!D9*Scenarios!B3*Assumptions!D11) + (County_League_Model!D10*Scenarios!B4*Assumptions!D11) + (County_League_Model!D15*Scenarios!B6)</f>
        <v/>
      </c>
      <c r="C3" s="6">
        <f>County_League_Model!D21</f>
        <v/>
      </c>
      <c r="D3" s="6">
        <f>(County_League_Model!D9*Scenarios!D3*Assumptions!E11) + (County_League_Model!D10*Scenarios!D4*Assumptions!E11) + (County_League_Model!D15*Scenarios!D6)</f>
        <v/>
      </c>
    </row>
    <row r="4">
      <c r="A4" t="inlineStr">
        <is>
          <t>Year 3 Total Paid Users</t>
        </is>
      </c>
      <c r="B4" s="4">
        <f>(County_League_Model!D9*Scenarios!B3) + (County_League_Model!D10*Scenarios!B4) + (County_League_Model!D15)</f>
        <v/>
      </c>
      <c r="C4" s="4">
        <f>County_League_Model!D13 + County_League_Model!D14 + County_League_Model!D15</f>
        <v/>
      </c>
      <c r="D4" s="4">
        <f>(County_League_Model!D9*Scenarios!D3) + (County_League_Model!D10*Scenarios!D4) + (County_League_Model!D15)</f>
        <v/>
      </c>
    </row>
    <row r="5">
      <c r="A5" t="inlineStr">
        <is>
          <t>Blended LTV (Year 3)</t>
        </is>
      </c>
      <c r="B5" s="6">
        <f>(B3/B4) * Assumptions!D14 * Assumptions!D13</f>
        <v/>
      </c>
      <c r="C5" s="6">
        <f>Unit_Economics!E7</f>
        <v/>
      </c>
      <c r="D5" s="6">
        <f>(D3/D4) * Assumptions!E14 * Assumptions!E13</f>
        <v/>
      </c>
    </row>
    <row r="6">
      <c r="A6" t="inlineStr">
        <is>
          <t>Blended Payback (Months) - Est.</t>
        </is>
      </c>
      <c r="B6" s="9" t="inlineStr">
        <is>
          <t>( (Scenarios!B7*B4) + (Scenarios!B9*County_League_Model!D15) ) / (B3*Assumptions!D14) * 12</t>
        </is>
      </c>
      <c r="C6" s="9">
        <f>Unit_Economics!E11</f>
        <v/>
      </c>
      <c r="D6" s="9" t="inlineStr">
        <is>
          <t>( (Scenarios!D7*D4) + (Scenarios!D9*County_League_Model!D15) ) / (D3*Assumptions!E14) * 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Sales Comp Model (Example)</t>
        </is>
      </c>
    </row>
    <row r="2">
      <c r="A2" s="2" t="inlineStr">
        <is>
          <t>Role</t>
        </is>
      </c>
      <c r="B2" s="2" t="inlineStr">
        <is>
          <t>Base Salary</t>
        </is>
      </c>
      <c r="C2" s="2" t="inlineStr">
        <is>
          <t>Commission Rate</t>
        </is>
      </c>
      <c r="D2" s="2" t="inlineStr">
        <is>
          <t>Bonus Target</t>
        </is>
      </c>
      <c r="E2" s="2" t="inlineStr">
        <is>
          <t>Notes / Triggers</t>
        </is>
      </c>
    </row>
    <row r="3">
      <c r="A3" t="inlineStr">
        <is>
          <t>Org Sales Rep (Tranche B)</t>
        </is>
      </c>
      <c r="B3" s="6">
        <f>Assumptions!C21</f>
        <v/>
      </c>
      <c r="C3" s="5" t="n">
        <v>0.1</v>
      </c>
      <c r="D3" s="6" t="n">
        <v>20000</v>
      </c>
      <c r="E3" t="inlineStr">
        <is>
          <t>10% of 1st Year ACV. Bonus on 100% quota.</t>
        </is>
      </c>
    </row>
    <row r="4">
      <c r="A4" t="inlineStr">
        <is>
          <t>Partner Manager (Tranche C)</t>
        </is>
      </c>
      <c r="B4" s="6" t="n">
        <v>90000</v>
      </c>
      <c r="C4" s="5" t="n">
        <v>0.05</v>
      </c>
      <c r="D4" s="6" t="n">
        <v>15000</v>
      </c>
      <c r="E4" t="inlineStr">
        <is>
          <t>5% of ACV from league partners.</t>
        </is>
      </c>
    </row>
    <row r="5">
      <c r="A5" t="inlineStr">
        <is>
          <t>Head of Sales (Tranche C)</t>
        </is>
      </c>
      <c r="B5" s="6" t="n">
        <v>140000</v>
      </c>
      <c r="C5" s="5" t="n">
        <v>0.02</v>
      </c>
      <c r="D5" s="6" t="n">
        <v>50000</v>
      </c>
      <c r="E5" t="inlineStr">
        <is>
          <t>2% team override. Bonus on team quota.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8" customWidth="1" min="4" max="4"/>
    <col width="20" customWidth="1" min="5" max="5"/>
    <col width="40" customWidth="1" min="6" max="6"/>
  </cols>
  <sheetData>
    <row r="1">
      <c r="A1" s="1" t="inlineStr">
        <is>
          <t>Infrastructure Cost Estimates</t>
        </is>
      </c>
    </row>
    <row r="2">
      <c r="A2" s="2" t="inlineStr">
        <is>
          <t>Item</t>
        </is>
      </c>
      <c r="B2" s="2" t="inlineStr">
        <is>
          <t>Cost Driver</t>
        </is>
      </c>
      <c r="C2" s="2" t="inlineStr">
        <is>
          <t>Cost per Unit</t>
        </is>
      </c>
      <c r="D2" s="2" t="inlineStr">
        <is>
          <t>Units (Year 2)</t>
        </is>
      </c>
      <c r="E2" s="2" t="inlineStr">
        <is>
          <t>Total Annual Cost</t>
        </is>
      </c>
      <c r="F2" s="2" t="inlineStr">
        <is>
          <t>Notes</t>
        </is>
      </c>
    </row>
    <row r="3">
      <c r="A3" t="inlineStr">
        <is>
          <t>Umpire Onboarding/Training</t>
        </is>
      </c>
      <c r="B3" t="inlineStr">
        <is>
          <t>Per Umpire</t>
        </is>
      </c>
      <c r="C3" s="6" t="n">
        <v>10</v>
      </c>
      <c r="D3" s="4">
        <f>County_League_Model!C8</f>
        <v/>
      </c>
      <c r="E3" s="6">
        <f>C3*D3</f>
        <v/>
      </c>
      <c r="F3" t="inlineStr">
        <is>
          <t>Manuals, support, background check subsidy</t>
        </is>
      </c>
    </row>
    <row r="4">
      <c r="A4" t="inlineStr">
        <is>
          <t>Audio Data Storage (Cloud)</t>
        </is>
      </c>
      <c r="B4" t="inlineStr">
        <is>
          <t>Per Game (Avg)</t>
        </is>
      </c>
      <c r="C4" s="6" t="n">
        <v>0.5</v>
      </c>
      <c r="D4" s="4">
        <f>(County_League_Model!C8*20)</f>
        <v/>
      </c>
      <c r="E4" s="6">
        <f>C4*D4</f>
        <v/>
      </c>
      <c r="F4" t="inlineStr">
        <is>
          <t>Assuming 20 games/umpire/year</t>
        </is>
      </c>
    </row>
    <row r="5">
      <c r="A5" t="inlineStr">
        <is>
          <t>Data Processing (AI)</t>
        </is>
      </c>
      <c r="B5" t="inlineStr">
        <is>
          <t>Per Game (Avg)</t>
        </is>
      </c>
      <c r="C5" s="6" t="n">
        <v>1</v>
      </c>
      <c r="D5" s="4">
        <f>D4</f>
        <v/>
      </c>
      <c r="E5" s="6">
        <f>C5*D5</f>
        <v/>
      </c>
      <c r="F5" t="inlineStr">
        <is>
          <t>Analytics &amp; transcription costs</t>
        </is>
      </c>
    </row>
    <row r="6">
      <c r="A6" t="inlineStr">
        <is>
          <t>Total Annual Infra COGS</t>
        </is>
      </c>
      <c r="E6" s="6">
        <f>SUM(E3:E5)</f>
        <v/>
      </c>
    </row>
    <row r="8">
      <c r="A8" s="3" t="inlineStr">
        <is>
          <t>Adjusted Gross Margin</t>
        </is>
      </c>
    </row>
    <row r="9">
      <c r="A9" t="inlineStr">
        <is>
          <t>Base Gross Margin</t>
        </is>
      </c>
      <c r="B9" s="5">
        <f>Assumptions!C15</f>
        <v/>
      </c>
    </row>
    <row r="10">
      <c r="A10" t="inlineStr">
        <is>
          <t>Infra COGS as % of Revenue (Y2)</t>
        </is>
      </c>
      <c r="B10" s="5">
        <f>E6/County_League_Model!C21</f>
        <v/>
      </c>
    </row>
    <row r="11">
      <c r="A11" t="inlineStr">
        <is>
          <t>Adjusted Gross Margin</t>
        </is>
      </c>
      <c r="B11" s="5">
        <f>B9-B10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2025-11-05T19:46:27Z</dcterms:created>
  <dcterms:modified xmlns:dcterms="http://purl.org/dc/terms/" xmlns:xsi="http://www.w3.org/2001/XMLSchema-instance" xsi:type="dcterms:W3CDTF">2025-11-05T19:46:27Z</dcterms:modified>
</cp:coreProperties>
</file>