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Umpires, $3-5k MRR)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($35k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Assumptions!C22*2*(Summary!C3/12)</f>
        <v/>
      </c>
      <c r="D3" s="6">
        <f>(Assumptions!C22*2*(6/12))+(Assumptions!C23*2*(6/12))</f>
        <v/>
      </c>
      <c r="E3" s="6">
        <f>Assumptions!C23*2*(Summary!C5/12)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Assumptions!C21*1*(1+Assumptions!C19)*((Summary!C5-3)/12)+Assumptions!C21*2*(1+Assumptions!C19)*(3/12)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50000</v>
      </c>
      <c r="F7" s="6">
        <f>SUM(C7:E7)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100000</v>
      </c>
      <c r="F8" s="6">
        <f>SUM(C8:E8)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SUM(C9:E9)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SUM(C7:C9)</f>
        <v/>
      </c>
      <c r="D10" s="6">
        <f>SUM(D7:D9)</f>
        <v/>
      </c>
      <c r="E10" s="6">
        <f>SUM(E7:E9)</f>
        <v/>
      </c>
      <c r="F10" s="6">
        <f>SUM(F7:F9)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40000</v>
      </c>
      <c r="F11" s="7">
        <f>SUM(C11:E11)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C11</f>
        <v/>
      </c>
      <c r="D12" s="6">
        <f>D11</f>
        <v/>
      </c>
      <c r="E12" s="6">
        <f>E11</f>
        <v/>
      </c>
      <c r="F12" s="6">
        <f>F11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Infra_Estimates!F6*(Summary!C3/12)</f>
        <v/>
      </c>
      <c r="D13" s="6">
        <f>Infra_Estimates!F6</f>
        <v/>
      </c>
      <c r="E13" s="6">
        <f>Infra_Estimates!F6*1.5</f>
        <v/>
      </c>
      <c r="F13" s="6">
        <f>SUM(C13:E13)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C13</f>
        <v/>
      </c>
      <c r="D14" s="7">
        <f>D13</f>
        <v/>
      </c>
      <c r="E14" s="7">
        <f>E13</f>
        <v/>
      </c>
      <c r="F14" s="7">
        <f>F13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SUM(C15:E15)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20000</v>
      </c>
      <c r="F16" s="6">
        <f>SUM(C16:E16)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SUM(C15:C16)</f>
        <v/>
      </c>
      <c r="D17" s="7">
        <f>SUM(D15:D16)</f>
        <v/>
      </c>
      <c r="E17" s="7">
        <f>SUM(E15:E16)</f>
        <v/>
      </c>
      <c r="F17" s="7">
        <f>SUM(F15:F16)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SUM(C6,C10,C12,C14,C17)</f>
        <v/>
      </c>
      <c r="D19" s="6">
        <f>SUM(D6,D10,D12,D14,D17)</f>
        <v/>
      </c>
      <c r="E19" s="6">
        <f>SUM(E6,E10,E12,E14,E17)</f>
        <v/>
      </c>
      <c r="F19" s="6">
        <f>SUM(F6,F10,F12,F14,F17)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SUM(C20:E20)</f>
        <v/>
      </c>
    </row>
    <row r="21">
      <c r="A21" s="3" t="inlineStr">
        <is>
          <t>Surplus / Deficit</t>
        </is>
      </c>
      <c r="B21" s="3" t="inlineStr"/>
      <c r="C21" s="7">
        <f>C20-C19</f>
        <v/>
      </c>
      <c r="D21" s="7">
        <f>D20-D19</f>
        <v/>
      </c>
      <c r="E21" s="7">
        <f>E20-E19</f>
        <v/>
      </c>
      <c r="F21" s="7">
        <f>F20-F19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(Tranche_Detail!C10) / Summary!C3</f>
        <v/>
      </c>
      <c r="H3" s="6">
        <f>(Tranche_Detail!C12) / Summary!C3</f>
        <v/>
      </c>
      <c r="I3" s="6">
        <f>(Tranche_Detail!C14) / Summary!C3</f>
        <v/>
      </c>
      <c r="J3" s="6">
        <f>(Tranche_Detail!C17)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(Tranche_Detail!C19)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(Tranche_Detail!C10)/Summary!C3, IF(A4&lt;=(Summary!C3+Summary!C4), (Tranche_Detail!D10)/Summary!C4, (Tranche_Detail!E10)/Summary!C5))</f>
        <v/>
      </c>
      <c r="H4" s="6">
        <f>IF(A4&lt;=Summary!C3, (Tranche_Detail!C12)/Summary!C3, IF(A4&lt;=(Summary!C3+Summary!C4), (Tranche_Detail!D12)/Summary!C4, (Tranche_Detail!E12)/Summary!C5))</f>
        <v/>
      </c>
      <c r="I4" s="6">
        <f>IF(A4&lt;=Summary!C3, (Tranche_Detail!C14)/Summary!C3, IF(A4&lt;=(Summary!C3+Summary!C4), (Tranche_Detail!D14)/Summary!C4, (Tranche_Detail!E14)/Summary!C5))</f>
        <v/>
      </c>
      <c r="J4" s="6">
        <f>IF(A4&lt;=Summary!C3, (Tranche_Detail!C17)/Summary!C3, IF(A4&lt;=(Summary!C3+Summary!C4), (Tranche_Detail!D17)/Summary!C4, (Tranche_Detail!E17)/Summary!C5))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(Tranche_Detail!D19)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(Tranche_Detail!C10)/Summary!C3, IF(A5&lt;=(Summary!C3+Summary!C4), (Tranche_Detail!D10)/Summary!C4, (Tranche_Detail!E10)/Summary!C5))</f>
        <v/>
      </c>
      <c r="H5" s="6">
        <f>IF(A5&lt;=Summary!C3, (Tranche_Detail!C12)/Summary!C3, IF(A5&lt;=(Summary!C3+Summary!C4), (Tranche_Detail!D12)/Summary!C4, (Tranche_Detail!E12)/Summary!C5))</f>
        <v/>
      </c>
      <c r="I5" s="6">
        <f>IF(A5&lt;=Summary!C3, (Tranche_Detail!C14)/Summary!C3, IF(A5&lt;=(Summary!C3+Summary!C4), (Tranche_Detail!D14)/Summary!C4, (Tranche_Detail!E14)/Summary!C5))</f>
        <v/>
      </c>
      <c r="J5" s="6">
        <f>IF(A5&lt;=Summary!C3, (Tranche_Detail!C17)/Summary!C3, IF(A5&lt;=(Summary!C3+Summary!C4), (Tranche_Detail!D17)/Summary!C4, (Tranche_Detail!E17)/Summary!C5))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(Tranche_Detail!E19)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(Tranche_Detail!C10)/Summary!C3, IF(A6&lt;=(Summary!C3+Summary!C4), (Tranche_Detail!D10)/Summary!C4, (Tranche_Detail!E10)/Summary!C5))</f>
        <v/>
      </c>
      <c r="H6" s="6">
        <f>IF(A6&lt;=Summary!C3, (Tranche_Detail!C12)/Summary!C3, IF(A6&lt;=(Summary!C3+Summary!C4), (Tranche_Detail!D12)/Summary!C4, (Tranche_Detail!E12)/Summary!C5))</f>
        <v/>
      </c>
      <c r="I6" s="6">
        <f>IF(A6&lt;=Summary!C3, (Tranche_Detail!C14)/Summary!C3, IF(A6&lt;=(Summary!C3+Summary!C4), (Tranche_Detail!D14)/Summary!C4, (Tranche_Detail!E14)/Summary!C5))</f>
        <v/>
      </c>
      <c r="J6" s="6">
        <f>IF(A6&lt;=Summary!C3, (Tranche_Detail!C17)/Summary!C3, IF(A6&lt;=(Summary!C3+Summary!C4), (Tranche_Detail!D17)/Summary!C4, (Tranche_Detail!E17)/Summary!C5))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(Tranche_Detail!C10)/Summary!C3, IF(A7&lt;=(Summary!C3+Summary!C4), (Tranche_Detail!D10)/Summary!C4, (Tranche_Detail!E10)/Summary!C5))</f>
        <v/>
      </c>
      <c r="H7" s="6">
        <f>IF(A7&lt;=Summary!C3, (Tranche_Detail!C12)/Summary!C3, IF(A7&lt;=(Summary!C3+Summary!C4), (Tranche_Detail!D12)/Summary!C4, (Tranche_Detail!E12)/Summary!C5))</f>
        <v/>
      </c>
      <c r="I7" s="6">
        <f>IF(A7&lt;=Summary!C3, (Tranche_Detail!C14)/Summary!C3, IF(A7&lt;=(Summary!C3+Summary!C4), (Tranche_Detail!D14)/Summary!C4, (Tranche_Detail!E14)/Summary!C5))</f>
        <v/>
      </c>
      <c r="J7" s="6">
        <f>IF(A7&lt;=Summary!C3, (Tranche_Detail!C17)/Summary!C3, IF(A7&lt;=(Summary!C3+Summary!C4), (Tranche_Detail!D17)/Summary!C4, (Tranche_Detail!E17)/Summary!C5))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(Tranche_Detail!C10)/Summary!C3, IF(A8&lt;=(Summary!C3+Summary!C4), (Tranche_Detail!D10)/Summary!C4, (Tranche_Detail!E10)/Summary!C5))</f>
        <v/>
      </c>
      <c r="H8" s="6">
        <f>IF(A8&lt;=Summary!C3, (Tranche_Detail!C12)/Summary!C3, IF(A8&lt;=(Summary!C3+Summary!C4), (Tranche_Detail!D12)/Summary!C4, (Tranche_Detail!E12)/Summary!C5))</f>
        <v/>
      </c>
      <c r="I8" s="6">
        <f>IF(A8&lt;=Summary!C3, (Tranche_Detail!C14)/Summary!C3, IF(A8&lt;=(Summary!C3+Summary!C4), (Tranche_Detail!D14)/Summary!C4, (Tranche_Detail!E14)/Summary!C5))</f>
        <v/>
      </c>
      <c r="J8" s="6">
        <f>IF(A8&lt;=Summary!C3, (Tranche_Detail!C17)/Summary!C3, IF(A8&lt;=(Summary!C3+Summary!C4), (Tranche_Detail!D17)/Summary!C4, (Tranche_Detail!E17)/Summary!C5))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(Tranche_Detail!C10)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(Tranche_Detail!C10)/Summary!C3, IF(A9&lt;=(Summary!C3+Summary!C4), (Tranche_Detail!D10)/Summary!C4, (Tranche_Detail!E10)/Summary!C5))</f>
        <v/>
      </c>
      <c r="H9" s="6">
        <f>IF(A9&lt;=Summary!C3, (Tranche_Detail!C12)/Summary!C3, IF(A9&lt;=(Summary!C3+Summary!C4), (Tranche_Detail!D12)/Summary!C4, (Tranche_Detail!E12)/Summary!C5))</f>
        <v/>
      </c>
      <c r="I9" s="6">
        <f>IF(A9&lt;=Summary!C3, (Tranche_Detail!C14)/Summary!C3, IF(A9&lt;=(Summary!C3+Summary!C4), (Tranche_Detail!D14)/Summary!C4, (Tranche_Detail!E14)/Summary!C5))</f>
        <v/>
      </c>
      <c r="J9" s="6">
        <f>IF(A9&lt;=Summary!C3, (Tranche_Detail!C17)/Summary!C3, IF(A9&lt;=(Summary!C3+Summary!C4), (Tranche_Detail!D17)/Summary!C4, (Tranche_Detail!E17)/Summary!C5))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(Tranche_Detail!C10)/Summary!C3, IF(A10&lt;=(Summary!C3+Summary!C4), (Tranche_Detail!D10)/Summary!C4, (Tranche_Detail!E10)/Summary!C5))</f>
        <v/>
      </c>
      <c r="H10" s="6">
        <f>IF(A10&lt;=Summary!C3, (Tranche_Detail!C12)/Summary!C3, IF(A10&lt;=(Summary!C3+Summary!C4), (Tranche_Detail!D12)/Summary!C4, (Tranche_Detail!E12)/Summary!C5))</f>
        <v/>
      </c>
      <c r="I10" s="6">
        <f>IF(A10&lt;=Summary!C3, (Tranche_Detail!C14)/Summary!C3, IF(A10&lt;=(Summary!C3+Summary!C4), (Tranche_Detail!D14)/Summary!C4, (Tranche_Detail!E14)/Summary!C5))</f>
        <v/>
      </c>
      <c r="J10" s="6">
        <f>IF(A10&lt;=Summary!C3, (Tranche_Detail!C17)/Summary!C3, IF(A10&lt;=(Summary!C3+Summary!C4), (Tranche_Detail!D17)/Summary!C4, (Tranche_Detail!E17)/Summary!C5))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(Tranche_Detail!C10)/Summary!C3, IF(A11&lt;=(Summary!C3+Summary!C4), (Tranche_Detail!D10)/Summary!C4, (Tranche_Detail!E10)/Summary!C5))</f>
        <v/>
      </c>
      <c r="H11" s="6">
        <f>IF(A11&lt;=Summary!C3, (Tranche_Detail!C12)/Summary!C3, IF(A11&lt;=(Summary!C3+Summary!C4), (Tranche_Detail!D12)/Summary!C4, (Tranche_Detail!E12)/Summary!C5))</f>
        <v/>
      </c>
      <c r="I11" s="6">
        <f>IF(A11&lt;=Summary!C3, (Tranche_Detail!C14)/Summary!C3, IF(A11&lt;=(Summary!C3+Summary!C4), (Tranche_Detail!D14)/Summary!C4, (Tranche_Detail!E14)/Summary!C5))</f>
        <v/>
      </c>
      <c r="J11" s="6">
        <f>IF(A11&lt;=Summary!C3, (Tranche_Detail!C17)/Summary!C3, IF(A11&lt;=(Summary!C3+Summary!C4), (Tranche_Detail!D17)/Summary!C4, (Tranche_Detail!E17)/Summary!C5))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(Tranche_Detail!C10)/Summary!C3, IF(A12&lt;=(Summary!C3+Summary!C4), (Tranche_Detail!D10)/Summary!C4, (Tranche_Detail!E10)/Summary!C5))</f>
        <v/>
      </c>
      <c r="H12" s="6">
        <f>IF(A12&lt;=Summary!C3, (Tranche_Detail!C12)/Summary!C3, IF(A12&lt;=(Summary!C3+Summary!C4), (Tranche_Detail!D12)/Summary!C4, (Tranche_Detail!E12)/Summary!C5))</f>
        <v/>
      </c>
      <c r="I12" s="6">
        <f>IF(A12&lt;=Summary!C3, (Tranche_Detail!C14)/Summary!C3, IF(A12&lt;=(Summary!C3+Summary!C4), (Tranche_Detail!D14)/Summary!C4, (Tranche_Detail!E14)/Summary!C5))</f>
        <v/>
      </c>
      <c r="J12" s="6">
        <f>IF(A12&lt;=Summary!C3, (Tranche_Detail!C17)/Summary!C3, IF(A12&lt;=(Summary!C3+Summary!C4), (Tranche_Detail!D17)/Summary!C4, (Tranche_Detail!E17)/Summary!C5))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(Tranche_Detail!C10)/Summary!C3, IF(A13&lt;=(Summary!C3+Summary!C4), (Tranche_Detail!D10)/Summary!C4, (Tranche_Detail!E10)/Summary!C5))</f>
        <v/>
      </c>
      <c r="H13" s="6">
        <f>IF(A13&lt;=Summary!C3, (Tranche_Detail!C12)/Summary!C3, IF(A13&lt;=(Summary!C3+Summary!C4), (Tranche_Detail!D12)/Summary!C4, (Tranche_Detail!E12)/Summary!C5))</f>
        <v/>
      </c>
      <c r="I13" s="6">
        <f>IF(A13&lt;=Summary!C3, (Tranche_Detail!C14)/Summary!C3, IF(A13&lt;=(Summary!C3+Summary!C4), (Tranche_Detail!D14)/Summary!C4, (Tranche_Detail!E14)/Summary!C5))</f>
        <v/>
      </c>
      <c r="J13" s="6">
        <f>IF(A13&lt;=Summary!C3, (Tranche_Detail!C17)/Summary!C3, IF(A13&lt;=(Summary!C3+Summary!C4), (Tranche_Detail!D17)/Summary!C4, (Tranche_Detail!E17)/Summary!C5))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(Tranche_Detail!C10)/Summary!C3, IF(A14&lt;=(Summary!C3+Summary!C4), (Tranche_Detail!D10)/Summary!C4, (Tranche_Detail!E10)/Summary!C5))</f>
        <v/>
      </c>
      <c r="H14" s="6">
        <f>IF(A14&lt;=Summary!C3, (Tranche_Detail!C12)/Summary!C3, IF(A14&lt;=(Summary!C3+Summary!C4), (Tranche_Detail!D12)/Summary!C4, (Tranche_Detail!E12)/Summary!C5))</f>
        <v/>
      </c>
      <c r="I14" s="6">
        <f>IF(A14&lt;=Summary!C3, (Tranche_Detail!C14)/Summary!C3, IF(A14&lt;=(Summary!C3+Summary!C4), (Tranche_Detail!D14)/Summary!C4, (Tranche_Detail!E14)/Summary!C5))</f>
        <v/>
      </c>
      <c r="J14" s="6">
        <f>IF(A14&lt;=Summary!C3, (Tranche_Detail!C17)/Summary!C3, IF(A14&lt;=(Summary!C3+Summary!C4), (Tranche_Detail!D17)/Summary!C4, (Tranche_Detail!E17)/Summary!C5))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(Tranche_Detail!C10)/Summary!C3, IF(A15&lt;=(Summary!C3+Summary!C4), (Tranche_Detail!D10)/Summary!C4, (Tranche_Detail!E10)/Summary!C5))</f>
        <v/>
      </c>
      <c r="H15" s="6">
        <f>IF(A15&lt;=Summary!C3, (Tranche_Detail!C12)/Summary!C3, IF(A15&lt;=(Summary!C3+Summary!C4), (Tranche_Detail!D12)/Summary!C4, (Tranche_Detail!E12)/Summary!C5))</f>
        <v/>
      </c>
      <c r="I15" s="6">
        <f>IF(A15&lt;=Summary!C3, (Tranche_Detail!C14)/Summary!C3, IF(A15&lt;=(Summary!C3+Summary!C4), (Tranche_Detail!D14)/Summary!C4, (Tranche_Detail!E14)/Summary!C5))</f>
        <v/>
      </c>
      <c r="J15" s="6">
        <f>IF(A15&lt;=Summary!C3, (Tranche_Detail!C17)/Summary!C3, IF(A15&lt;=(Summary!C3+Summary!C4), (Tranche_Detail!D17)/Summary!C4, (Tranche_Detail!E17)/Summary!C5))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(Tranche_Detail!C10)/Summary!C3, IF(A16&lt;=(Summary!C3+Summary!C4), (Tranche_Detail!D10)/Summary!C4, (Tranche_Detail!E10)/Summary!C5))</f>
        <v/>
      </c>
      <c r="H16" s="6">
        <f>IF(A16&lt;=Summary!C3, (Tranche_Detail!C12)/Summary!C3, IF(A16&lt;=(Summary!C3+Summary!C4), (Tranche_Detail!D12)/Summary!C4, (Tranche_Detail!E12)/Summary!C5))</f>
        <v/>
      </c>
      <c r="I16" s="6">
        <f>IF(A16&lt;=Summary!C3, (Tranche_Detail!C14)/Summary!C3, IF(A16&lt;=(Summary!C3+Summary!C4), (Tranche_Detail!D14)/Summary!C4, (Tranche_Detail!E14)/Summary!C5))</f>
        <v/>
      </c>
      <c r="J16" s="6">
        <f>IF(A16&lt;=Summary!C3, (Tranche_Detail!C17)/Summary!C3, IF(A16&lt;=(Summary!C3+Summary!C4), (Tranche_Detail!D17)/Summary!C4, (Tranche_Detail!E17)/Summary!C5))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(Tranche_Detail!C10)/Summary!C3, IF(A17&lt;=(Summary!C3+Summary!C4), (Tranche_Detail!D10)/Summary!C4, (Tranche_Detail!E10)/Summary!C5))</f>
        <v/>
      </c>
      <c r="H17" s="6">
        <f>IF(A17&lt;=Summary!C3, (Tranche_Detail!C12)/Summary!C3, IF(A17&lt;=(Summary!C3+Summary!C4), (Tranche_Detail!D12)/Summary!C4, (Tranche_Detail!E12)/Summary!C5))</f>
        <v/>
      </c>
      <c r="I17" s="6">
        <f>IF(A17&lt;=Summary!C3, (Tranche_Detail!C14)/Summary!C3, IF(A17&lt;=(Summary!C3+Summary!C4), (Tranche_Detail!D14)/Summary!C4, (Tranche_Detail!E14)/Summary!C5))</f>
        <v/>
      </c>
      <c r="J17" s="6">
        <f>IF(A17&lt;=Summary!C3, (Tranche_Detail!C17)/Summary!C3, IF(A17&lt;=(Summary!C3+Summary!C4), (Tranche_Detail!D17)/Summary!C4, (Tranche_Detail!E17)/Summary!C5))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(Tranche_Detail!C10)/Summary!C3, IF(A18&lt;=(Summary!C3+Summary!C4), (Tranche_Detail!D10)/Summary!C4, (Tranche_Detail!E10)/Summary!C5))</f>
        <v/>
      </c>
      <c r="H18" s="6">
        <f>IF(A18&lt;=Summary!C3, (Tranche_Detail!C12)/Summary!C3, IF(A18&lt;=(Summary!C3+Summary!C4), (Tranche_Detail!D12)/Summary!C4, (Tranche_Detail!E12)/Summary!C5))</f>
        <v/>
      </c>
      <c r="I18" s="6">
        <f>IF(A18&lt;=Summary!C3, (Tranche_Detail!C14)/Summary!C3, IF(A18&lt;=(Summary!C3+Summary!C4), (Tranche_Detail!D14)/Summary!C4, (Tranche_Detail!E14)/Summary!C5))</f>
        <v/>
      </c>
      <c r="J18" s="6">
        <f>IF(A18&lt;=Summary!C3, (Tranche_Detail!C17)/Summary!C3, IF(A18&lt;=(Summary!C3+Summary!C4), (Tranche_Detail!D17)/Summary!C4, (Tranche_Detail!E17)/Summary!C5))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(Tranche_Detail!C10)/Summary!C3, IF(A19&lt;=(Summary!C3+Summary!C4), (Tranche_Detail!D10)/Summary!C4, (Tranche_Detail!E10)/Summary!C5))</f>
        <v/>
      </c>
      <c r="H19" s="6">
        <f>IF(A19&lt;=Summary!C3, (Tranche_Detail!C12)/Summary!C3, IF(A19&lt;=(Summary!C3+Summary!C4), (Tranche_Detail!D12)/Summary!C4, (Tranche_Detail!E12)/Summary!C5))</f>
        <v/>
      </c>
      <c r="I19" s="6">
        <f>IF(A19&lt;=Summary!C3, (Tranche_Detail!C14)/Summary!C3, IF(A19&lt;=(Summary!C3+Summary!C4), (Tranche_Detail!D14)/Summary!C4, (Tranche_Detail!E14)/Summary!C5))</f>
        <v/>
      </c>
      <c r="J19" s="6">
        <f>IF(A19&lt;=Summary!C3, (Tranche_Detail!C17)/Summary!C3, IF(A19&lt;=(Summary!C3+Summary!C4), (Tranche_Detail!D17)/Summary!C4, (Tranche_Detail!E17)/Summary!C5))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(Tranche_Detail!C10)/Summary!C3, IF(A20&lt;=(Summary!C3+Summary!C4), (Tranche_Detail!D10)/Summary!C4, (Tranche_Detail!E10)/Summary!C5))</f>
        <v/>
      </c>
      <c r="H20" s="6">
        <f>IF(A20&lt;=Summary!C3, (Tranche_Detail!C12)/Summary!C3, IF(A20&lt;=(Summary!C3+Summary!C4), (Tranche_Detail!D12)/Summary!C4, (Tranche_Detail!E12)/Summary!C5))</f>
        <v/>
      </c>
      <c r="I20" s="6">
        <f>IF(A20&lt;=Summary!C3, (Tranche_Detail!C14)/Summary!C3, IF(A20&lt;=(Summary!C3+Summary!C4), (Tranche_Detail!D14)/Summary!C4, (Tranche_Detail!E14)/Summary!C5))</f>
        <v/>
      </c>
      <c r="J20" s="6">
        <f>IF(A20&lt;=Summary!C3, (Tranche_Detail!C17)/Summary!C3, IF(A20&lt;=(Summary!C3+Summary!C4), (Tranche_Detail!D17)/Summary!C4, (Tranche_Detail!E17)/Summary!C5))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(Tranche_Detail!C10)/Summary!C3, IF(A21&lt;=(Summary!C3+Summary!C4), (Tranche_Detail!D10)/Summary!C4, (Tranche_Detail!E10)/Summary!C5))</f>
        <v/>
      </c>
      <c r="H21" s="6">
        <f>IF(A21&lt;=Summary!C3, (Tranche_Detail!C12)/Summary!C3, IF(A21&lt;=(Summary!C3+Summary!C4), (Tranche_Detail!D12)/Summary!C4, (Tranche_Detail!E12)/Summary!C5))</f>
        <v/>
      </c>
      <c r="I21" s="6">
        <f>IF(A21&lt;=Summary!C3, (Tranche_Detail!C14)/Summary!C3, IF(A21&lt;=(Summary!C3+Summary!C4), (Tranche_Detail!D14)/Summary!C4, (Tranche_Detail!E14)/Summary!C5))</f>
        <v/>
      </c>
      <c r="J21" s="6">
        <f>IF(A21&lt;=Summary!C3, (Tranche_Detail!C17)/Summary!C3, IF(A21&lt;=(Summary!C3+Summary!C4), (Tranche_Detail!D17)/Summary!C4, (Tranche_Detail!E17)/Summary!C5))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(Tranche_Detail!C10)/Summary!C3, IF(A22&lt;=(Summary!C3+Summary!C4), (Tranche_Detail!D10)/Summary!C4, (Tranche_Detail!E10)/Summary!C5))</f>
        <v/>
      </c>
      <c r="H22" s="6">
        <f>IF(A22&lt;=Summary!C3, (Tranche_Detail!C12)/Summary!C3, IF(A22&lt;=(Summary!C3+Summary!C4), (Tranche_Detail!D12)/Summary!C4, (Tranche_Detail!E12)/Summary!C5))</f>
        <v/>
      </c>
      <c r="I22" s="6">
        <f>IF(A22&lt;=Summary!C3, (Tranche_Detail!C14)/Summary!C3, IF(A22&lt;=(Summary!C3+Summary!C4), (Tranche_Detail!D14)/Summary!C4, (Tranche_Detail!E14)/Summary!C5))</f>
        <v/>
      </c>
      <c r="J22" s="6">
        <f>IF(A22&lt;=Summary!C3, (Tranche_Detail!C17)/Summary!C3, IF(A22&lt;=(Summary!C3+Summary!C4), (Tranche_Detail!D17)/Summary!C4, (Tranche_Detail!E17)/Summary!C5))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(Tranche_Detail!C10)/Summary!C3, IF(A23&lt;=(Summary!C3+Summary!C4), (Tranche_Detail!D10)/Summary!C4, (Tranche_Detail!E10)/Summary!C5))</f>
        <v/>
      </c>
      <c r="H23" s="6">
        <f>IF(A23&lt;=Summary!C3, (Tranche_Detail!C12)/Summary!C3, IF(A23&lt;=(Summary!C3+Summary!C4), (Tranche_Detail!D12)/Summary!C4, (Tranche_Detail!E12)/Summary!C5))</f>
        <v/>
      </c>
      <c r="I23" s="6">
        <f>IF(A23&lt;=Summary!C3, (Tranche_Detail!C14)/Summary!C3, IF(A23&lt;=(Summary!C3+Summary!C4), (Tranche_Detail!D14)/Summary!C4, (Tranche_Detail!E14)/Summary!C5))</f>
        <v/>
      </c>
      <c r="J23" s="6">
        <f>IF(A23&lt;=Summary!C3, (Tranche_Detail!C17)/Summary!C3, IF(A23&lt;=(Summary!C3+Summary!C4), (Tranche_Detail!D17)/Summary!C4, (Tranche_Detail!E17)/Summary!C5))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(Tranche_Detail!C10)/Summary!C3, IF(A24&lt;=(Summary!C3+Summary!C4), (Tranche_Detail!D10)/Summary!C4, (Tranche_Detail!E10)/Summary!C5))</f>
        <v/>
      </c>
      <c r="H24" s="6">
        <f>IF(A24&lt;=Summary!C3, (Tranche_Detail!C12)/Summary!C3, IF(A24&lt;=(Summary!C3+Summary!C4), (Tranche_Detail!D12)/Summary!C4, (Tranche_Detail!E12)/Summary!C5))</f>
        <v/>
      </c>
      <c r="I24" s="6">
        <f>IF(A24&lt;=Summary!C3, (Tranche_Detail!C14)/Summary!C3, IF(A24&lt;=(Summary!C3+Summary!C4), (Tranche_Detail!D14)/Summary!C4, (Tranche_Detail!E14)/Summary!C5))</f>
        <v/>
      </c>
      <c r="J24" s="6">
        <f>IF(A24&lt;=Summary!C3, (Tranche_Detail!C17)/Summary!C3, IF(A24&lt;=(Summary!C3+Summary!C4), (Tranche_Detail!D17)/Summary!C4, (Tranche_Detail!E17)/Summary!C5))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(Tranche_Detail!C10)/Summary!C3, IF(A25&lt;=(Summary!C3+Summary!C4), (Tranche_Detail!D10)/Summary!C4, (Tranche_Detail!E10)/Summary!C5))</f>
        <v/>
      </c>
      <c r="H25" s="6">
        <f>IF(A25&lt;=Summary!C3, (Tranche_Detail!C12)/Summary!C3, IF(A25&lt;=(Summary!C3+Summary!C4), (Tranche_Detail!D12)/Summary!C4, (Tranche_Detail!E12)/Summary!C5))</f>
        <v/>
      </c>
      <c r="I25" s="6">
        <f>IF(A25&lt;=Summary!C3, (Tranche_Detail!C14)/Summary!C3, IF(A25&lt;=(Summary!C3+Summary!C4), (Tranche_Detail!D14)/Summary!C4, (Tranche_Detail!E14)/Summary!C5))</f>
        <v/>
      </c>
      <c r="J25" s="6">
        <f>IF(A25&lt;=Summary!C3, (Tranche_Detail!C17)/Summary!C3, IF(A25&lt;=(Summary!C3+Summary!C4), (Tranche_Detail!D17)/Summary!C4, (Tranche_Detail!E17)/Summary!C5))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(Tranche_Detail!C10)/Summary!C3, IF(A26&lt;=(Summary!C3+Summary!C4), (Tranche_Detail!D10)/Summary!C4, (Tranche_Detail!E10)/Summary!C5))</f>
        <v/>
      </c>
      <c r="H26" s="6">
        <f>IF(A26&lt;=Summary!C3, (Tranche_Detail!C12)/Summary!C3, IF(A26&lt;=(Summary!C3+Summary!C4), (Tranche_Detail!D12)/Summary!C4, (Tranche_Detail!E12)/Summary!C5))</f>
        <v/>
      </c>
      <c r="I26" s="6">
        <f>IF(A26&lt;=Summary!C3, (Tranche_Detail!C14)/Summary!C3, IF(A26&lt;=(Summary!C3+Summary!C4), (Tranche_Detail!D14)/Summary!C4, (Tranche_Detail!E14)/Summary!C5))</f>
        <v/>
      </c>
      <c r="J26" s="6">
        <f>IF(A26&lt;=Summary!C3, (Tranche_Detail!C17)/Summary!C3, IF(A26&lt;=(Summary!C3+Summary!C4), (Tranche_Detail!D17)/Summary!C4, (Tranche_Detail!E17)/Summary!C5))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(Tranche_Detail!C10)/Summary!C3, IF(A27&lt;=(Summary!C3+Summary!C4), (Tranche_Detail!D10)/Summary!C4, (Tranche_Detail!E10)/Summary!C5))</f>
        <v/>
      </c>
      <c r="H27" s="6">
        <f>IF(A27&lt;=Summary!C3, (Tranche_Detail!C12)/Summary!C3, IF(A27&lt;=(Summary!C3+Summary!C4), (Tranche_Detail!D12)/Summary!C4, (Tranche_Detail!E12)/Summary!C5))</f>
        <v/>
      </c>
      <c r="I27" s="6">
        <f>IF(A27&lt;=Summary!C3, (Tranche_Detail!C14)/Summary!C3, IF(A27&lt;=(Summary!C3+Summary!C4), (Tranche_Detail!D14)/Summary!C4, (Tranche_Detail!E14)/Summary!C5))</f>
        <v/>
      </c>
      <c r="J27" s="6">
        <f>IF(A27&lt;=Summary!C3, (Tranche_Detail!C17)/Summary!C3, IF(A27&lt;=(Summary!C3+Summary!C4), (Tranche_Detail!D17)/Summary!C4, (Tranche_Detail!E17)/Summary!C5))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(Tranche_Detail!C10)/Summary!C3, IF(A28&lt;=(Summary!C3+Summary!C4), (Tranche_Detail!D10)/Summary!C4, (Tranche_Detail!E10)/Summary!C5))</f>
        <v/>
      </c>
      <c r="H28" s="6">
        <f>IF(A28&lt;=Summary!C3, (Tranche_Detail!C12)/Summary!C3, IF(A28&lt;=(Summary!C3+Summary!C4), (Tranche_Detail!D12)/Summary!C4, (Tranche_Detail!E12)/Summary!C5))</f>
        <v/>
      </c>
      <c r="I28" s="6">
        <f>IF(A28&lt;=Summary!C3, (Tranche_Detail!C14)/Summary!C3, IF(A28&lt;=(Summary!C3+Summary!C4), (Tranche_Detail!D14)/Summary!C4, (Tranche_Detail!E14)/Summary!C5))</f>
        <v/>
      </c>
      <c r="J28" s="6">
        <f>IF(A28&lt;=Summary!C3, (Tranche_Detail!C17)/Summary!C3, IF(A28&lt;=(Summary!C3+Summary!C4), (Tranche_Detail!D17)/Summary!C4, (Tranche_Detail!E17)/Summary!C5))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(Tranche_Detail!C10)/Summary!C3, IF(A29&lt;=(Summary!C3+Summary!C4), (Tranche_Detail!D10)/Summary!C4, (Tranche_Detail!E10)/Summary!C5))</f>
        <v/>
      </c>
      <c r="H29" s="6">
        <f>IF(A29&lt;=Summary!C3, (Tranche_Detail!C12)/Summary!C3, IF(A29&lt;=(Summary!C3+Summary!C4), (Tranche_Detail!D12)/Summary!C4, (Tranche_Detail!E12)/Summary!C5))</f>
        <v/>
      </c>
      <c r="I29" s="6">
        <f>IF(A29&lt;=Summary!C3, (Tranche_Detail!C14)/Summary!C3, IF(A29&lt;=(Summary!C3+Summary!C4), (Tranche_Detail!D14)/Summary!C4, (Tranche_Detail!E14)/Summary!C5))</f>
        <v/>
      </c>
      <c r="J29" s="6">
        <f>IF(A29&lt;=Summary!C3, (Tranche_Detail!C17)/Summary!C3, IF(A29&lt;=(Summary!C3+Summary!C4), (Tranche_Detail!D17)/Summary!C4, (Tranche_Detail!E17)/Summary!C5))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(Tranche_Detail!C10)/Summary!C3, IF(A30&lt;=(Summary!C3+Summary!C4), (Tranche_Detail!D10)/Summary!C4, (Tranche_Detail!E10)/Summary!C5))</f>
        <v/>
      </c>
      <c r="H30" s="6">
        <f>IF(A30&lt;=Summary!C3, (Tranche_Detail!C12)/Summary!C3, IF(A30&lt;=(Summary!C3+Summary!C4), (Tranche_Detail!D12)/Summary!C4, (Tranche_Detail!E12)/Summary!C5))</f>
        <v/>
      </c>
      <c r="I30" s="6">
        <f>IF(A30&lt;=Summary!C3, (Tranche_Detail!C14)/Summary!C3, IF(A30&lt;=(Summary!C3+Summary!C4), (Tranche_Detail!D14)/Summary!C4, (Tranche_Detail!E14)/Summary!C5))</f>
        <v/>
      </c>
      <c r="J30" s="6">
        <f>IF(A30&lt;=Summary!C3, (Tranche_Detail!C17)/Summary!C3, IF(A30&lt;=(Summary!C3+Summary!C4), (Tranche_Detail!D17)/Summary!C4, (Tranche_Detail!E17)/Summary!C5))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(Tranche_Detail!C10)/Summary!C3, IF(A31&lt;=(Summary!C3+Summary!C4), (Tranche_Detail!D10)/Summary!C4, (Tranche_Detail!E10)/Summary!C5))</f>
        <v/>
      </c>
      <c r="H31" s="6">
        <f>IF(A31&lt;=Summary!C3, (Tranche_Detail!C12)/Summary!C3, IF(A31&lt;=(Summary!C3+Summary!C4), (Tranche_Detail!D12)/Summary!C4, (Tranche_Detail!E12)/Summary!C5))</f>
        <v/>
      </c>
      <c r="I31" s="6">
        <f>IF(A31&lt;=Summary!C3, (Tranche_Detail!C14)/Summary!C3, IF(A31&lt;=(Summary!C3+Summary!C4), (Tranche_Detail!D14)/Summary!C4, (Tranche_Detail!E14)/Summary!C5))</f>
        <v/>
      </c>
      <c r="J31" s="6">
        <f>IF(A31&lt;=Summary!C3, (Tranche_Detail!C17)/Summary!C3, IF(A31&lt;=(Summary!C3+Summary!C4), (Tranche_Detail!D17)/Summary!C4, (Tranche_Detail!E17)/Summary!C5))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(Tranche_Detail!C10)/Summary!C3, IF(A32&lt;=(Summary!C3+Summary!C4), (Tranche_Detail!D10)/Summary!C4, (Tranche_Detail!E10)/Summary!C5))</f>
        <v/>
      </c>
      <c r="H32" s="6">
        <f>IF(A32&lt;=Summary!C3, (Tranche_Detail!C12)/Summary!C3, IF(A32&lt;=(Summary!C3+Summary!C4), (Tranche_Detail!D12)/Summary!C4, (Tranche_Detail!E12)/Summary!C5))</f>
        <v/>
      </c>
      <c r="I32" s="6">
        <f>IF(A32&lt;=Summary!C3, (Tranche_Detail!C14)/Summary!C3, IF(A32&lt;=(Summary!C3+Summary!C4), (Tranche_Detail!D14)/Summary!C4, (Tranche_Detail!E14)/Summary!C5))</f>
        <v/>
      </c>
      <c r="J32" s="6">
        <f>IF(A32&lt;=Summary!C3, (Tranche_Detail!C17)/Summary!C3, IF(A32&lt;=(Summary!C3+Summary!C4), (Tranche_Detail!D17)/Summary!C4, (Tranche_Detail!E17)/Summary!C5))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(Tranche_Detail!C10)/Summary!C3, IF(A33&lt;=(Summary!C3+Summary!C4), (Tranche_Detail!D10)/Summary!C4, (Tranche_Detail!E10)/Summary!C5))</f>
        <v/>
      </c>
      <c r="H33" s="6">
        <f>IF(A33&lt;=Summary!C3, (Tranche_Detail!C12)/Summary!C3, IF(A33&lt;=(Summary!C3+Summary!C4), (Tranche_Detail!D12)/Summary!C4, (Tranche_Detail!E12)/Summary!C5))</f>
        <v/>
      </c>
      <c r="I33" s="6">
        <f>IF(A33&lt;=Summary!C3, (Tranche_Detail!C14)/Summary!C3, IF(A33&lt;=(Summary!C3+Summary!C4), (Tranche_Detail!D14)/Summary!C4, (Tranche_Detail!E14)/Summary!C5))</f>
        <v/>
      </c>
      <c r="J33" s="6">
        <f>IF(A33&lt;=Summary!C3, (Tranche_Detail!C17)/Summary!C3, IF(A33&lt;=(Summary!C3+Summary!C4), (Tranche_Detail!D17)/Summary!C4, (Tranche_Detail!E17)/Summary!C5))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(Tranche_Detail!C10)/Summary!C3, IF(A34&lt;=(Summary!C3+Summary!C4), (Tranche_Detail!D10)/Summary!C4, (Tranche_Detail!E10)/Summary!C5))</f>
        <v/>
      </c>
      <c r="H34" s="6">
        <f>IF(A34&lt;=Summary!C3, (Tranche_Detail!C12)/Summary!C3, IF(A34&lt;=(Summary!C3+Summary!C4), (Tranche_Detail!D12)/Summary!C4, (Tranche_Detail!E12)/Summary!C5))</f>
        <v/>
      </c>
      <c r="I34" s="6">
        <f>IF(A34&lt;=Summary!C3, (Tranche_Detail!C14)/Summary!C3, IF(A34&lt;=(Summary!C3+Summary!C4), (Tranche_Detail!D14)/Summary!C4, (Tranche_Detail!E14)/Summary!C5))</f>
        <v/>
      </c>
      <c r="J34" s="6">
        <f>IF(A34&lt;=Summary!C3, (Tranche_Detail!C17)/Summary!C3, IF(A34&lt;=(Summary!C3+Summary!C4), (Tranche_Detail!D17)/Summary!C4, (Tranche_Detail!E17)/Summary!C5))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(Tranche_Detail!C10)/Summary!C3, IF(A35&lt;=(Summary!C3+Summary!C4), (Tranche_Detail!D10)/Summary!C4, (Tranche_Detail!E10)/Summary!C5))</f>
        <v/>
      </c>
      <c r="H35" s="6">
        <f>IF(A35&lt;=Summary!C3, (Tranche_Detail!C12)/Summary!C3, IF(A35&lt;=(Summary!C3+Summary!C4), (Tranche_Detail!D12)/Summary!C4, (Tranche_Detail!E12)/Summary!C5))</f>
        <v/>
      </c>
      <c r="I35" s="6">
        <f>IF(A35&lt;=Summary!C3, (Tranche_Detail!C14)/Summary!C3, IF(A35&lt;=(Summary!C3+Summary!C4), (Tranche_Detail!D14)/Summary!C4, (Tranche_Detail!E14)/Summary!C5))</f>
        <v/>
      </c>
      <c r="J35" s="6">
        <f>IF(A35&lt;=Summary!C3, (Tranche_Detail!C17)/Summary!C3, IF(A35&lt;=(Summary!C3+Summary!C4), (Tranche_Detail!D17)/Summary!C4, (Tranche_Detail!E17)/Summary!C5))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(Tranche_Detail!C10)/Summary!C3, IF(A36&lt;=(Summary!C3+Summary!C4), (Tranche_Detail!D10)/Summary!C4, (Tranche_Detail!E10)/Summary!C5))</f>
        <v/>
      </c>
      <c r="H36" s="6">
        <f>IF(A36&lt;=Summary!C3, (Tranche_Detail!C12)/Summary!C3, IF(A36&lt;=(Summary!C3+Summary!C4), (Tranche_Detail!D12)/Summary!C4, (Tranche_Detail!E12)/Summary!C5))</f>
        <v/>
      </c>
      <c r="I36" s="6">
        <f>IF(A36&lt;=Summary!C3, (Tranche_Detail!C14)/Summary!C3, IF(A36&lt;=(Summary!C3+Summary!C4), (Tranche_Detail!D14)/Summary!C4, (Tranche_Detail!E14)/Summary!C5))</f>
        <v/>
      </c>
      <c r="J36" s="6">
        <f>IF(A36&lt;=Summary!C3, (Tranche_Detail!C17)/Summary!C3, IF(A36&lt;=(Summary!C3+Summary!C4), (Tranche_Detail!D17)/Summary!C4, (Tranche_Detail!E17)/Summary!C5))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(Tranche_Detail!C10)/Summary!C3, IF(A37&lt;=(Summary!C3+Summary!C4), (Tranche_Detail!D10)/Summary!C4, (Tranche_Detail!E10)/Summary!C5))</f>
        <v/>
      </c>
      <c r="H37" s="6">
        <f>IF(A37&lt;=Summary!C3, (Tranche_Detail!C12)/Summary!C3, IF(A37&lt;=(Summary!C3+Summary!C4), (Tranche_Detail!D12)/Summary!C4, (Tranche_Detail!E12)/Summary!C5))</f>
        <v/>
      </c>
      <c r="I37" s="6">
        <f>IF(A37&lt;=Summary!C3, (Tranche_Detail!C14)/Summary!C3, IF(A37&lt;=(Summary!C3+Summary!C4), (Tranche_Detail!D14)/Summary!C4, (Tranche_Detail!E14)/Summary!C5))</f>
        <v/>
      </c>
      <c r="J37" s="6">
        <f>IF(A37&lt;=Summary!C3, (Tranche_Detail!C17)/Summary!C3, IF(A37&lt;=(Summary!C3+Summary!C4), (Tranche_Detail!D17)/Summary!C4, (Tranche_Detail!E17)/Summary!C5))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(Tranche_Detail!C10)/Summary!C3, IF(A38&lt;=(Summary!C3+Summary!C4), (Tranche_Detail!D10)/Summary!C4, (Tranche_Detail!E10)/Summary!C5))</f>
        <v/>
      </c>
      <c r="H38" s="6">
        <f>IF(A38&lt;=Summary!C3, (Tranche_Detail!C12)/Summary!C3, IF(A38&lt;=(Summary!C3+Summary!C4), (Tranche_Detail!D12)/Summary!C4, (Tranche_Detail!E12)/Summary!C5))</f>
        <v/>
      </c>
      <c r="I38" s="6">
        <f>IF(A38&lt;=Summary!C3, (Tranche_Detail!C14)/Summary!C3, IF(A38&lt;=(Summary!C3+Summary!C4), (Tranche_Detail!D14)/Summary!C4, (Tranche_Detail!E14)/Summary!C5))</f>
        <v/>
      </c>
      <c r="J38" s="6">
        <f>IF(A38&lt;=Summary!C3, (Tranche_Detail!C17)/Summary!C3, IF(A38&lt;=(Summary!C3+Summary!C4), (Tranche_Detail!D17)/Summary!C4, (Tranche_Detail!E17)/Summary!C5))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Assumptions!C22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Assumptions!C23</f>
        <v/>
      </c>
      <c r="C4" s="6">
        <f>Assumptions!C25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Assumptions!C24</f>
        <v/>
      </c>
      <c r="C5" s="6">
        <f>Assumptions!C26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A</t>
        </is>
      </c>
      <c r="B6" t="inlineStr">
        <is>
          <t>Generate $3-5k MRR</t>
        </is>
      </c>
      <c r="C6" t="inlineStr">
        <is>
          <t>MRR</t>
        </is>
      </c>
      <c r="D6" t="n">
        <v>4000</v>
      </c>
      <c r="E6">
        <f>County_League_Model!D22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Tranche A Milestones Met</t>
        </is>
      </c>
      <c r="C7" t="inlineStr">
        <is>
          <t>Status</t>
        </is>
      </c>
      <c r="D7" s="6" t="n">
        <v>1</v>
      </c>
      <c r="E7" s="6">
        <f>IF(AND(F5="Met",F6="Met"),1,0)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Achieve $35k MRR</t>
        </is>
      </c>
      <c r="C8" t="inlineStr">
        <is>
          <t>MRR</t>
        </is>
      </c>
      <c r="D8" s="5" t="n">
        <v>35000</v>
      </c>
      <c r="E8" s="5">
        <f>County_League_Model!D22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Parent Conversion</t>
        </is>
      </c>
      <c r="C9" t="inlineStr">
        <is>
          <t>%</t>
        </is>
      </c>
      <c r="D9" s="5">
        <f>Assumptions!C8</f>
        <v/>
      </c>
      <c r="E9" s="5">
        <f>Assumptions!C8</f>
        <v/>
      </c>
      <c r="F9">
        <f>IF(E9&gt;=D9,"Met","Pending")</f>
        <v/>
      </c>
    </row>
    <row r="10">
      <c r="A10" t="inlineStr">
        <is>
          <t>B</t>
        </is>
      </c>
      <c r="B10" t="inlineStr">
        <is>
          <t>Coach Conversion</t>
        </is>
      </c>
      <c r="C10" t="inlineStr">
        <is>
          <t>%</t>
        </is>
      </c>
      <c r="D10">
        <f>Assumptions!C9</f>
        <v/>
      </c>
      <c r="E10">
        <f>Assumptions!C9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Tranche B Milestones Met</t>
        </is>
      </c>
      <c r="C11" t="inlineStr">
        <is>
          <t>Status</t>
        </is>
      </c>
      <c r="D11" s="6" t="n">
        <v>1</v>
      </c>
      <c r="E11" s="6">
        <f>IF(AND(F8="Met",F9="Met",F10="Met"),1,0)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Achieve $100k MRR</t>
        </is>
      </c>
      <c r="C12" t="inlineStr">
        <is>
          <t>MRR</t>
        </is>
      </c>
      <c r="D12" t="n">
        <v>100000</v>
      </c>
      <c r="E12">
        <f>County_League_Model!D22</f>
        <v/>
      </c>
      <c r="F12">
        <f>IF(E12&gt;=D12,"Met","Pending")</f>
        <v/>
      </c>
    </row>
    <row r="13">
      <c r="A13" t="inlineStr">
        <is>
          <t>C</t>
        </is>
      </c>
      <c r="B13" t="inlineStr">
        <is>
          <t>Org Contracts</t>
        </is>
      </c>
      <c r="C13" t="inlineStr">
        <is>
          <t>Count</t>
        </is>
      </c>
      <c r="D13" t="n">
        <v>10</v>
      </c>
      <c r="E13">
        <f>County_League_Model!D15</f>
        <v/>
      </c>
      <c r="F13">
        <f>IF(E13&gt;=D13,"Met","Pending")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Assumptions!C21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2025-11-05T21:16:46Z</dcterms:created>
  <dcterms:modified xmlns:dcterms="http://purl.org/dc/terms/" xmlns:xsi="http://www.w3.org/2001/XMLSchema-instance" xsi:type="dcterms:W3CDTF">2025-11-05T21:16:46Z</dcterms:modified>
</cp:coreProperties>
</file>